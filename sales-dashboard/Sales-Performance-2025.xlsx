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hidePivotFieldList="1" defaultThemeVersion="166925"/>
  <mc:AlternateContent xmlns:mc="http://schemas.openxmlformats.org/markup-compatibility/2006">
    <mc:Choice Requires="x15">
      <x15ac:absPath xmlns:x15ac="http://schemas.microsoft.com/office/spreadsheetml/2010/11/ac" url="C:\Users\User\OneDrive\Documents\Coding File\"/>
    </mc:Choice>
  </mc:AlternateContent>
  <xr:revisionPtr revIDLastSave="0" documentId="13_ncr:1_{853F6F20-D444-4F74-B933-965C7ECBA826}" xr6:coauthVersionLast="47" xr6:coauthVersionMax="47" xr10:uidLastSave="{00000000-0000-0000-0000-000000000000}"/>
  <bookViews>
    <workbookView xWindow="-120" yWindow="-120" windowWidth="20730" windowHeight="11760" firstSheet="3" activeTab="6" xr2:uid="{EC3357BD-28A7-46B6-A515-9C71BD72B58D}"/>
  </bookViews>
  <sheets>
    <sheet name="Months 2025" sheetId="4" r:id="rId1"/>
    <sheet name="Product 2025" sheetId="5" r:id="rId2"/>
    <sheet name="Region 2025" sheetId="6" r:id="rId3"/>
    <sheet name="Sales Performance 2025" sheetId="9" r:id="rId4"/>
    <sheet name="Top Product 25" sheetId="11" r:id="rId5"/>
    <sheet name="in" sheetId="1" r:id="rId6"/>
    <sheet name="Dashboard" sheetId="2" r:id="rId7"/>
  </sheets>
  <definedNames>
    <definedName name="Product_Name">in!$C:$C</definedName>
    <definedName name="Slicer_Month">#N/A</definedName>
    <definedName name="Slicer_Product_Name">#N/A</definedName>
    <definedName name="Slicer_Region">#N/A</definedName>
    <definedName name="Slicer_Salesperson">#N/A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2" l="1"/>
  <c r="I4" i="2"/>
  <c r="E4" i="2"/>
  <c r="T9" i="1"/>
  <c r="T8" i="1"/>
  <c r="T7" i="1"/>
  <c r="T6" i="1"/>
  <c r="T5" i="1"/>
  <c r="T4" i="1"/>
  <c r="T3" i="1"/>
  <c r="T2" i="1"/>
  <c r="Q11" i="1"/>
  <c r="Q10" i="1"/>
  <c r="Q9" i="1"/>
  <c r="Q8" i="1"/>
  <c r="Q7" i="1"/>
  <c r="Q6" i="1"/>
  <c r="Q5" i="1"/>
  <c r="Q4" i="1"/>
  <c r="Q3" i="1"/>
  <c r="Q2" i="1"/>
  <c r="N3" i="1"/>
  <c r="N4" i="1"/>
  <c r="N5" i="1"/>
  <c r="N6" i="1"/>
  <c r="N2" i="1"/>
  <c r="K2" i="1"/>
  <c r="K3" i="1"/>
  <c r="K4" i="1"/>
  <c r="K5" i="1"/>
  <c r="K6" i="1"/>
  <c r="K7" i="1"/>
  <c r="K8" i="1"/>
  <c r="K9" i="1"/>
  <c r="K10" i="1"/>
  <c r="K11" i="1"/>
  <c r="K12" i="1"/>
  <c r="K13" i="1"/>
  <c r="G4" i="2"/>
  <c r="C4" i="2"/>
</calcChain>
</file>

<file path=xl/sharedStrings.xml><?xml version="1.0" encoding="utf-8"?>
<sst xmlns="http://schemas.openxmlformats.org/spreadsheetml/2006/main" count="7618" uniqueCount="83">
  <si>
    <t>Date</t>
  </si>
  <si>
    <t>Month</t>
  </si>
  <si>
    <t>Product Name</t>
  </si>
  <si>
    <t>Category</t>
  </si>
  <si>
    <t>Units Sold</t>
  </si>
  <si>
    <t>Revenue</t>
  </si>
  <si>
    <t>Region</t>
  </si>
  <si>
    <t>Salesperson</t>
  </si>
  <si>
    <t>Nov</t>
  </si>
  <si>
    <t>Printer</t>
  </si>
  <si>
    <t>Office</t>
  </si>
  <si>
    <t>East</t>
  </si>
  <si>
    <t>Daniel Lim</t>
  </si>
  <si>
    <t>May</t>
  </si>
  <si>
    <t>Headphones</t>
  </si>
  <si>
    <t>Accessories</t>
  </si>
  <si>
    <t>Central</t>
  </si>
  <si>
    <t>Alex Tan</t>
  </si>
  <si>
    <t>Jun</t>
  </si>
  <si>
    <t>Grace Ong</t>
  </si>
  <si>
    <t>Jul</t>
  </si>
  <si>
    <t>Laptop</t>
  </si>
  <si>
    <t>Computers</t>
  </si>
  <si>
    <t>Farid Rahman</t>
  </si>
  <si>
    <t>Sep</t>
  </si>
  <si>
    <t>Tablet</t>
  </si>
  <si>
    <t>Mobile</t>
  </si>
  <si>
    <t>South</t>
  </si>
  <si>
    <t>Brian Lee</t>
  </si>
  <si>
    <t>Jan</t>
  </si>
  <si>
    <t>Mouse</t>
  </si>
  <si>
    <t>West</t>
  </si>
  <si>
    <t>Catherine Wong</t>
  </si>
  <si>
    <t>Oct</t>
  </si>
  <si>
    <t>Hafiz Noor</t>
  </si>
  <si>
    <t>Camera</t>
  </si>
  <si>
    <t>Electronics</t>
  </si>
  <si>
    <t>Keyboard</t>
  </si>
  <si>
    <t>Monitor</t>
  </si>
  <si>
    <t>North</t>
  </si>
  <si>
    <t>Apr</t>
  </si>
  <si>
    <t>Smartphone</t>
  </si>
  <si>
    <t>Dec</t>
  </si>
  <si>
    <t>Emily Chua</t>
  </si>
  <si>
    <t>Smartwatch</t>
  </si>
  <si>
    <t>Wearables</t>
  </si>
  <si>
    <t>Aug</t>
  </si>
  <si>
    <t>Feb</t>
  </si>
  <si>
    <t>Mar</t>
  </si>
  <si>
    <t>TOTAL REVENUE</t>
  </si>
  <si>
    <t>UNITS SOLD</t>
  </si>
  <si>
    <t>AVG REVENUE</t>
  </si>
  <si>
    <t>TOTAL TRANSACTIONS</t>
  </si>
  <si>
    <t>Monthly Revenue</t>
  </si>
  <si>
    <t>JAN</t>
  </si>
  <si>
    <t>FEB</t>
  </si>
  <si>
    <t>MAR</t>
  </si>
  <si>
    <t>APR</t>
  </si>
  <si>
    <t>MAY</t>
  </si>
  <si>
    <t>JUN</t>
  </si>
  <si>
    <t>JUL</t>
  </si>
  <si>
    <t>AUG</t>
  </si>
  <si>
    <t>SEP</t>
  </si>
  <si>
    <t>OCT</t>
  </si>
  <si>
    <t>NOV</t>
  </si>
  <si>
    <t>DEC</t>
  </si>
  <si>
    <t>Total per Month</t>
  </si>
  <si>
    <t>Revenue per Region</t>
  </si>
  <si>
    <t>Total per Region</t>
  </si>
  <si>
    <t>rev by prod.</t>
  </si>
  <si>
    <t>Total per prod.</t>
  </si>
  <si>
    <t>Salesperon revenue</t>
  </si>
  <si>
    <t>Sales per person</t>
  </si>
  <si>
    <t>Grand Total</t>
  </si>
  <si>
    <t>Sum of Revenue</t>
  </si>
  <si>
    <t>Months 2025</t>
  </si>
  <si>
    <t>Product 2025</t>
  </si>
  <si>
    <t>Revenue by Region</t>
  </si>
  <si>
    <t>Average of Revenue</t>
  </si>
  <si>
    <t>SALES PERFORMANCE DASHBOARD - 2025 REVENUE &amp; SALES ANALYSIS</t>
  </si>
  <si>
    <t>JAN 2025 - DEC 2025 | REVENUE &amp; PRODUCT PERFROMANCE</t>
  </si>
  <si>
    <t>TOP PRODUCT</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</si>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</sst>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RM&quot;#,##0"/>
    <numFmt numFmtId="165" formatCode="&quot;RM&quot;#,##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28"/>
      <color theme="0"/>
      <name val="Calibri"/>
      <family val="2"/>
      <scheme val="minor"/>
    </font>
    <font>
      <b/>
      <sz val="14"/>
      <color theme="0"/>
      <name val="Calibri"/>
      <family val="2"/>
      <scheme val="minor"/>
    </font>
    <font>
      <sz val="8"/>
      <name val="Calibri"/>
      <family val="2"/>
      <scheme val="minor"/>
    </font>
    <font>
      <b/>
      <sz val="18"/>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0" fontId="17"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0" fillId="0" borderId="0" xfId="0" applyFont="1"/>
    <xf numFmtId="0" fontId="19" fillId="0" borderId="0" xfId="0" applyFont="1"/>
    <xf numFmtId="164" fontId="22" fillId="0" borderId="11" xfId="0" applyNumberFormat="1" applyFont="1" applyBorder="1" applyAlignment="1">
      <alignment horizontal="center"/>
    </xf>
    <xf numFmtId="164" fontId="22" fillId="0" borderId="12" xfId="0" applyNumberFormat="1" applyFont="1" applyBorder="1" applyAlignment="1">
      <alignment horizontal="center"/>
    </xf>
    <xf numFmtId="164" fontId="22" fillId="0" borderId="14" xfId="0" applyNumberFormat="1" applyFont="1" applyBorder="1" applyAlignment="1">
      <alignment horizontal="center"/>
    </xf>
    <xf numFmtId="164" fontId="22" fillId="0" borderId="15" xfId="0" applyNumberFormat="1" applyFont="1" applyBorder="1" applyAlignment="1">
      <alignment horizontal="center"/>
    </xf>
    <xf numFmtId="0" fontId="18" fillId="0" borderId="17" xfId="0" applyFont="1" applyBorder="1" applyAlignment="1">
      <alignment horizontal="center"/>
    </xf>
    <xf numFmtId="0" fontId="18" fillId="0" borderId="18" xfId="0" applyFont="1" applyBorder="1" applyAlignment="1">
      <alignment horizontal="center"/>
    </xf>
    <xf numFmtId="0" fontId="18" fillId="0" borderId="19" xfId="0" applyFont="1" applyBorder="1" applyAlignment="1">
      <alignment horizontal="center"/>
    </xf>
    <xf numFmtId="0" fontId="19" fillId="0" borderId="18" xfId="0" applyFont="1" applyBorder="1" applyAlignment="1">
      <alignment horizontal="center"/>
    </xf>
    <xf numFmtId="0" fontId="18" fillId="0" borderId="11" xfId="0" applyFont="1" applyBorder="1" applyAlignment="1">
      <alignment horizontal="center"/>
    </xf>
    <xf numFmtId="0" fontId="18" fillId="0" borderId="13" xfId="0" applyFont="1" applyBorder="1" applyAlignment="1">
      <alignment horizontal="center"/>
    </xf>
    <xf numFmtId="0" fontId="22" fillId="0" borderId="11" xfId="0" applyFont="1" applyBorder="1" applyAlignment="1">
      <alignment horizontal="center"/>
    </xf>
    <xf numFmtId="0" fontId="22" fillId="0" borderId="13" xfId="0" applyFont="1" applyBorder="1" applyAlignment="1">
      <alignment horizontal="center"/>
    </xf>
    <xf numFmtId="0" fontId="22" fillId="0" borderId="14" xfId="0" applyFont="1" applyBorder="1" applyAlignment="1">
      <alignment horizontal="center"/>
    </xf>
    <xf numFmtId="0" fontId="22" fillId="0" borderId="16" xfId="0" applyFont="1" applyBorder="1" applyAlignment="1">
      <alignment horizontal="center"/>
    </xf>
    <xf numFmtId="164" fontId="22" fillId="0" borderId="13" xfId="0" applyNumberFormat="1" applyFont="1" applyBorder="1" applyAlignment="1">
      <alignment horizontal="center"/>
    </xf>
    <xf numFmtId="164" fontId="22" fillId="0" borderId="16" xfId="0" applyNumberFormat="1" applyFont="1" applyBorder="1" applyAlignment="1">
      <alignment horizontal="center"/>
    </xf>
    <xf numFmtId="0" fontId="22" fillId="0" borderId="10" xfId="0" applyFont="1" applyBorder="1" applyAlignment="1">
      <alignment horizontal="center"/>
    </xf>
    <xf numFmtId="0" fontId="22" fillId="0" borderId="0" xfId="0" applyFont="1" applyAlignment="1">
      <alignment horizontal="center"/>
    </xf>
    <xf numFmtId="0" fontId="22" fillId="0" borderId="15"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numFmt numFmtId="164" formatCode="&quot;RM&quot;#,##0"/>
    </dxf>
    <dxf>
      <font>
        <sz val="12"/>
        <color theme="0"/>
      </font>
      <fill>
        <patternFill patternType="solid">
          <fgColor theme="1"/>
          <bgColor theme="1"/>
        </patternFill>
      </fill>
    </dxf>
  </dxfs>
  <tableStyles count="2" defaultTableStyle="TableStyleMedium2" defaultPivotStyle="PivotStyleLight16">
    <tableStyle name="Slicer Style 1" pivot="0" table="0" count="0" xr9:uid="{F3612FC3-D172-4458-A86A-C141FB9E5C76}"/>
    <tableStyle name="Slicer Style 2" pivot="0" table="0" count="1" xr9:uid="{D302FE54-5435-46AA-86BA-2A0F49EE2FC3}">
      <tableStyleElement type="wholeTable" dxfId="61"/>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2025.xlsx]Product 2025!PivotTable2</c:name>
    <c:fmtId val="1"/>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a:t>Revenue by Product</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00B050"/>
          </a:solid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3"/>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4"/>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5"/>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6"/>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7"/>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8"/>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9"/>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10"/>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11"/>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s>
    <c:plotArea>
      <c:layout>
        <c:manualLayout>
          <c:layoutTarget val="inner"/>
          <c:xMode val="edge"/>
          <c:yMode val="edge"/>
          <c:x val="0.1662794677991509"/>
          <c:y val="0.13282252030353342"/>
          <c:w val="0.68304326291644379"/>
          <c:h val="0.82551100035645586"/>
        </c:manualLayout>
      </c:layout>
      <c:barChart>
        <c:barDir val="bar"/>
        <c:grouping val="clustered"/>
        <c:varyColors val="0"/>
        <c:ser>
          <c:idx val="0"/>
          <c:order val="0"/>
          <c:tx>
            <c:strRef>
              <c:f>'Product 2025'!$B$3</c:f>
              <c:strCache>
                <c:ptCount val="1"/>
                <c:pt idx="0">
                  <c:v>Total</c:v>
                </c:pt>
              </c:strCache>
            </c:strRef>
          </c:tx>
          <c:spPr>
            <a:solidFill>
              <a:srgbClr val="00B050"/>
            </a:solid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 2025'!$A$4:$A$14</c:f>
              <c:strCache>
                <c:ptCount val="10"/>
                <c:pt idx="0">
                  <c:v>Keyboard</c:v>
                </c:pt>
                <c:pt idx="1">
                  <c:v>Smartphone</c:v>
                </c:pt>
                <c:pt idx="2">
                  <c:v>Tablet</c:v>
                </c:pt>
                <c:pt idx="3">
                  <c:v>Headphones</c:v>
                </c:pt>
                <c:pt idx="4">
                  <c:v>Printer</c:v>
                </c:pt>
                <c:pt idx="5">
                  <c:v>Monitor</c:v>
                </c:pt>
                <c:pt idx="6">
                  <c:v>Mouse</c:v>
                </c:pt>
                <c:pt idx="7">
                  <c:v>Laptop</c:v>
                </c:pt>
                <c:pt idx="8">
                  <c:v>Smartwatch</c:v>
                </c:pt>
                <c:pt idx="9">
                  <c:v>Camera</c:v>
                </c:pt>
              </c:strCache>
            </c:strRef>
          </c:cat>
          <c:val>
            <c:numRef>
              <c:f>'Product 2025'!$B$4:$B$14</c:f>
              <c:numCache>
                <c:formatCode>"RM"#,##0</c:formatCode>
                <c:ptCount val="10"/>
                <c:pt idx="0">
                  <c:v>1406177</c:v>
                </c:pt>
                <c:pt idx="1">
                  <c:v>1463488</c:v>
                </c:pt>
                <c:pt idx="2">
                  <c:v>1495435</c:v>
                </c:pt>
                <c:pt idx="3">
                  <c:v>1521873</c:v>
                </c:pt>
                <c:pt idx="4">
                  <c:v>1526773</c:v>
                </c:pt>
                <c:pt idx="5">
                  <c:v>1554360</c:v>
                </c:pt>
                <c:pt idx="6">
                  <c:v>1554601</c:v>
                </c:pt>
                <c:pt idx="7">
                  <c:v>1744853</c:v>
                </c:pt>
                <c:pt idx="8">
                  <c:v>1946226</c:v>
                </c:pt>
                <c:pt idx="9">
                  <c:v>2027549</c:v>
                </c:pt>
              </c:numCache>
            </c:numRef>
          </c:val>
          <c:extLst>
            <c:ext xmlns:c16="http://schemas.microsoft.com/office/drawing/2014/chart" uri="{C3380CC4-5D6E-409C-BE32-E72D297353CC}">
              <c16:uniqueId val="{00000014-587F-4276-8B65-36FAD5EE0C8E}"/>
            </c:ext>
          </c:extLst>
        </c:ser>
        <c:dLbls>
          <c:dLblPos val="outEnd"/>
          <c:showLegendKey val="0"/>
          <c:showVal val="1"/>
          <c:showCatName val="0"/>
          <c:showSerName val="0"/>
          <c:showPercent val="0"/>
          <c:showBubbleSize val="0"/>
        </c:dLbls>
        <c:gapWidth val="182"/>
        <c:overlap val="-50"/>
        <c:axId val="760184592"/>
        <c:axId val="760182992"/>
      </c:barChart>
      <c:valAx>
        <c:axId val="760182992"/>
        <c:scaling>
          <c:orientation val="minMax"/>
        </c:scaling>
        <c:delete val="1"/>
        <c:axPos val="b"/>
        <c:numFmt formatCode="&quot;RM&quot;#,##0" sourceLinked="1"/>
        <c:majorTickMark val="none"/>
        <c:minorTickMark val="none"/>
        <c:tickLblPos val="nextTo"/>
        <c:crossAx val="760184592"/>
        <c:crosses val="autoZero"/>
        <c:crossBetween val="between"/>
      </c:valAx>
      <c:catAx>
        <c:axId val="76018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601829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2025.xlsx]Sales Performance 2025!PivotTable7</c:name>
    <c:fmtId val="1"/>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a:t>Average Revenue by Salesperson</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rgbClr val="00B050"/>
          </a:solid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11"/>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12"/>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13"/>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14"/>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15"/>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
        <c:idx val="16"/>
        <c:spPr>
          <a:solidFill>
            <a:srgbClr val="00B050"/>
          </a:solidFill>
          <a:ln w="9525" cap="flat" cmpd="sng" algn="ctr">
            <a:solidFill>
              <a:schemeClr val="accent6"/>
            </a:solidFill>
            <a:miter lim="800000"/>
          </a:ln>
          <a:effectLst>
            <a:glow rad="63500">
              <a:schemeClr val="accent6">
                <a:satMod val="175000"/>
                <a:alpha val="25000"/>
              </a:schemeClr>
            </a:glow>
          </a:effectLst>
        </c:spPr>
      </c:pivotFmt>
    </c:pivotFmts>
    <c:plotArea>
      <c:layout/>
      <c:barChart>
        <c:barDir val="bar"/>
        <c:grouping val="clustered"/>
        <c:varyColors val="0"/>
        <c:ser>
          <c:idx val="0"/>
          <c:order val="0"/>
          <c:tx>
            <c:strRef>
              <c:f>'Sales Performance 2025'!$B$3</c:f>
              <c:strCache>
                <c:ptCount val="1"/>
                <c:pt idx="0">
                  <c:v>Total</c:v>
                </c:pt>
              </c:strCache>
            </c:strRef>
          </c:tx>
          <c:spPr>
            <a:solidFill>
              <a:srgbClr val="00B050"/>
            </a:solidFill>
            <a:ln w="9525" cap="flat" cmpd="sng" algn="ctr">
              <a:solidFill>
                <a:schemeClr val="accent6"/>
              </a:solidFill>
              <a:miter lim="800000"/>
            </a:ln>
            <a:effectLst>
              <a:glow rad="63500">
                <a:schemeClr val="accent6">
                  <a:satMod val="175000"/>
                  <a:alpha val="25000"/>
                </a:schemeClr>
              </a:glow>
            </a:effectLst>
          </c:spPr>
          <c:invertIfNegative val="0"/>
          <c:dPt>
            <c:idx val="0"/>
            <c:invertIfNegative val="0"/>
            <c:bubble3D val="0"/>
            <c:extLst>
              <c:ext xmlns:c16="http://schemas.microsoft.com/office/drawing/2014/chart" uri="{C3380CC4-5D6E-409C-BE32-E72D297353CC}">
                <c16:uniqueId val="{00000001-595B-44A1-B884-E861C68C7B85}"/>
              </c:ext>
            </c:extLst>
          </c:dPt>
          <c:dPt>
            <c:idx val="1"/>
            <c:invertIfNegative val="0"/>
            <c:bubble3D val="0"/>
            <c:extLst>
              <c:ext xmlns:c16="http://schemas.microsoft.com/office/drawing/2014/chart" uri="{C3380CC4-5D6E-409C-BE32-E72D297353CC}">
                <c16:uniqueId val="{00000003-595B-44A1-B884-E861C68C7B85}"/>
              </c:ext>
            </c:extLst>
          </c:dPt>
          <c:dPt>
            <c:idx val="2"/>
            <c:invertIfNegative val="0"/>
            <c:bubble3D val="0"/>
            <c:extLst>
              <c:ext xmlns:c16="http://schemas.microsoft.com/office/drawing/2014/chart" uri="{C3380CC4-5D6E-409C-BE32-E72D297353CC}">
                <c16:uniqueId val="{00000005-595B-44A1-B884-E861C68C7B85}"/>
              </c:ext>
            </c:extLst>
          </c:dPt>
          <c:dPt>
            <c:idx val="3"/>
            <c:invertIfNegative val="0"/>
            <c:bubble3D val="0"/>
            <c:extLst>
              <c:ext xmlns:c16="http://schemas.microsoft.com/office/drawing/2014/chart" uri="{C3380CC4-5D6E-409C-BE32-E72D297353CC}">
                <c16:uniqueId val="{00000007-595B-44A1-B884-E861C68C7B85}"/>
              </c:ext>
            </c:extLst>
          </c:dPt>
          <c:dPt>
            <c:idx val="4"/>
            <c:invertIfNegative val="0"/>
            <c:bubble3D val="0"/>
            <c:extLst>
              <c:ext xmlns:c16="http://schemas.microsoft.com/office/drawing/2014/chart" uri="{C3380CC4-5D6E-409C-BE32-E72D297353CC}">
                <c16:uniqueId val="{00000009-595B-44A1-B884-E861C68C7B85}"/>
              </c:ext>
            </c:extLst>
          </c:dPt>
          <c:dPt>
            <c:idx val="5"/>
            <c:invertIfNegative val="0"/>
            <c:bubble3D val="0"/>
            <c:extLst>
              <c:ext xmlns:c16="http://schemas.microsoft.com/office/drawing/2014/chart" uri="{C3380CC4-5D6E-409C-BE32-E72D297353CC}">
                <c16:uniqueId val="{0000000B-595B-44A1-B884-E861C68C7B85}"/>
              </c:ext>
            </c:extLst>
          </c:dPt>
          <c:dPt>
            <c:idx val="6"/>
            <c:invertIfNegative val="0"/>
            <c:bubble3D val="0"/>
            <c:extLst>
              <c:ext xmlns:c16="http://schemas.microsoft.com/office/drawing/2014/chart" uri="{C3380CC4-5D6E-409C-BE32-E72D297353CC}">
                <c16:uniqueId val="{0000000D-595B-44A1-B884-E861C68C7B85}"/>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Performance 2025'!$A$4:$A$12</c:f>
              <c:strCache>
                <c:ptCount val="8"/>
                <c:pt idx="0">
                  <c:v>Alex Tan</c:v>
                </c:pt>
                <c:pt idx="1">
                  <c:v>Hafiz Noor</c:v>
                </c:pt>
                <c:pt idx="2">
                  <c:v>Catherine Wong</c:v>
                </c:pt>
                <c:pt idx="3">
                  <c:v>Emily Chua</c:v>
                </c:pt>
                <c:pt idx="4">
                  <c:v>Farid Rahman</c:v>
                </c:pt>
                <c:pt idx="5">
                  <c:v>Brian Lee</c:v>
                </c:pt>
                <c:pt idx="6">
                  <c:v>Grace Ong</c:v>
                </c:pt>
                <c:pt idx="7">
                  <c:v>Daniel Lim</c:v>
                </c:pt>
              </c:strCache>
            </c:strRef>
          </c:cat>
          <c:val>
            <c:numRef>
              <c:f>'Sales Performance 2025'!$B$4:$B$12</c:f>
              <c:numCache>
                <c:formatCode>"RM"#,##0</c:formatCode>
                <c:ptCount val="8"/>
                <c:pt idx="0">
                  <c:v>10057.36129032258</c:v>
                </c:pt>
                <c:pt idx="1">
                  <c:v>10160.768844221106</c:v>
                </c:pt>
                <c:pt idx="2">
                  <c:v>10282.887700534759</c:v>
                </c:pt>
                <c:pt idx="3">
                  <c:v>10823.648780487805</c:v>
                </c:pt>
                <c:pt idx="4">
                  <c:v>10982.195121951219</c:v>
                </c:pt>
                <c:pt idx="5">
                  <c:v>10995.661835748791</c:v>
                </c:pt>
                <c:pt idx="6">
                  <c:v>11310.433155080214</c:v>
                </c:pt>
                <c:pt idx="7">
                  <c:v>11869.744897959185</c:v>
                </c:pt>
              </c:numCache>
            </c:numRef>
          </c:val>
          <c:extLst>
            <c:ext xmlns:c16="http://schemas.microsoft.com/office/drawing/2014/chart" uri="{C3380CC4-5D6E-409C-BE32-E72D297353CC}">
              <c16:uniqueId val="{0000000E-595B-44A1-B884-E861C68C7B85}"/>
            </c:ext>
          </c:extLst>
        </c:ser>
        <c:dLbls>
          <c:showLegendKey val="0"/>
          <c:showVal val="0"/>
          <c:showCatName val="0"/>
          <c:showSerName val="0"/>
          <c:showPercent val="0"/>
          <c:showBubbleSize val="0"/>
        </c:dLbls>
        <c:gapWidth val="182"/>
        <c:overlap val="-50"/>
        <c:axId val="737592632"/>
        <c:axId val="737595192"/>
      </c:barChart>
      <c:catAx>
        <c:axId val="737592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737595192"/>
        <c:crosses val="autoZero"/>
        <c:auto val="1"/>
        <c:lblAlgn val="ctr"/>
        <c:lblOffset val="100"/>
        <c:noMultiLvlLbl val="0"/>
      </c:catAx>
      <c:valAx>
        <c:axId val="737595192"/>
        <c:scaling>
          <c:orientation val="minMax"/>
        </c:scaling>
        <c:delete val="1"/>
        <c:axPos val="b"/>
        <c:numFmt formatCode="&quot;RM&quot;#,##0" sourceLinked="1"/>
        <c:majorTickMark val="none"/>
        <c:minorTickMark val="none"/>
        <c:tickLblPos val="nextTo"/>
        <c:crossAx val="737592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2025.xlsx]Region 2025!PivotTable3</c:name>
    <c:fmtId val="1"/>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a:t>Revenue by Region</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2025'!$B$3</c:f>
              <c:strCache>
                <c:ptCount val="1"/>
                <c:pt idx="0">
                  <c:v>Total</c:v>
                </c:pt>
              </c:strCache>
            </c:strRef>
          </c:tx>
          <c:spPr>
            <a:solidFill>
              <a:srgbClr val="00B050"/>
            </a:solid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 2025'!$A$4:$A$9</c:f>
              <c:strCache>
                <c:ptCount val="5"/>
                <c:pt idx="0">
                  <c:v>Central</c:v>
                </c:pt>
                <c:pt idx="1">
                  <c:v>East</c:v>
                </c:pt>
                <c:pt idx="2">
                  <c:v>North</c:v>
                </c:pt>
                <c:pt idx="3">
                  <c:v>South</c:v>
                </c:pt>
                <c:pt idx="4">
                  <c:v>West</c:v>
                </c:pt>
              </c:strCache>
            </c:strRef>
          </c:cat>
          <c:val>
            <c:numRef>
              <c:f>'Region 2025'!$B$4:$B$9</c:f>
              <c:numCache>
                <c:formatCode>"RM"#,##0</c:formatCode>
                <c:ptCount val="5"/>
                <c:pt idx="0">
                  <c:v>3101439</c:v>
                </c:pt>
                <c:pt idx="1">
                  <c:v>3046968</c:v>
                </c:pt>
                <c:pt idx="2">
                  <c:v>3492200</c:v>
                </c:pt>
                <c:pt idx="3">
                  <c:v>3030677</c:v>
                </c:pt>
                <c:pt idx="4">
                  <c:v>3570051</c:v>
                </c:pt>
              </c:numCache>
            </c:numRef>
          </c:val>
          <c:extLst>
            <c:ext xmlns:c16="http://schemas.microsoft.com/office/drawing/2014/chart" uri="{C3380CC4-5D6E-409C-BE32-E72D297353CC}">
              <c16:uniqueId val="{00000000-49F6-45CF-BF62-D1EAC3BA5247}"/>
            </c:ext>
          </c:extLst>
        </c:ser>
        <c:dLbls>
          <c:dLblPos val="outEnd"/>
          <c:showLegendKey val="0"/>
          <c:showVal val="1"/>
          <c:showCatName val="0"/>
          <c:showSerName val="0"/>
          <c:showPercent val="0"/>
          <c:showBubbleSize val="0"/>
        </c:dLbls>
        <c:gapWidth val="182"/>
        <c:axId val="686032720"/>
        <c:axId val="686033040"/>
      </c:barChart>
      <c:catAx>
        <c:axId val="68603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86033040"/>
        <c:crosses val="autoZero"/>
        <c:auto val="1"/>
        <c:lblAlgn val="ctr"/>
        <c:lblOffset val="100"/>
        <c:noMultiLvlLbl val="0"/>
      </c:catAx>
      <c:valAx>
        <c:axId val="686033040"/>
        <c:scaling>
          <c:orientation val="minMax"/>
        </c:scaling>
        <c:delete val="1"/>
        <c:axPos val="l"/>
        <c:numFmt formatCode="&quot;RM&quot;#,##0" sourceLinked="1"/>
        <c:majorTickMark val="none"/>
        <c:minorTickMark val="none"/>
        <c:tickLblPos val="nextTo"/>
        <c:crossAx val="68603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2025.xlsx]Months 2025!PivotTable1</c:name>
    <c:fmtId val="1"/>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a:t>Revenue by Month</a:t>
            </a:r>
          </a:p>
        </c:rich>
      </c:tx>
      <c:layout>
        <c:manualLayout>
          <c:xMode val="edge"/>
          <c:yMode val="edge"/>
          <c:x val="0.36084905394186462"/>
          <c:y val="2.2627276201539547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0437051532941943E-2"/>
              <c:y val="8.851903545501546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8.851903545501587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8277886497064575E-3"/>
              <c:y val="1.777052115977137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3.114844758117605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1958983396965942E-17"/>
              <c:y val="8.851903545501546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9525" cap="flat" cmpd="sng" algn="ctr">
            <a:solidFill>
              <a:schemeClr val="accent6"/>
            </a:solidFill>
            <a:miter lim="800000"/>
          </a:ln>
          <a:effectLst>
            <a:glow rad="63500">
              <a:schemeClr val="accent6">
                <a:satMod val="175000"/>
                <a:alpha val="25000"/>
              </a:schemeClr>
            </a:glow>
          </a:effectLst>
        </c:spPr>
        <c:dLbl>
          <c:idx val="0"/>
          <c:layout>
            <c:manualLayout>
              <c:x val="-1.1958983396965942E-17"/>
              <c:y val="8.8519035455015462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9525" cap="flat" cmpd="sng" algn="ctr">
            <a:solidFill>
              <a:schemeClr val="accent6"/>
            </a:solidFill>
            <a:miter lim="800000"/>
          </a:ln>
          <a:effectLst>
            <a:glow rad="63500">
              <a:schemeClr val="accent6">
                <a:satMod val="175000"/>
                <a:alpha val="25000"/>
              </a:schemeClr>
            </a:glow>
          </a:effectLst>
        </c:spPr>
        <c:dLbl>
          <c:idx val="0"/>
          <c:layout>
            <c:manualLayout>
              <c:x val="0"/>
              <c:y val="3.114844758117605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9525" cap="flat" cmpd="sng" algn="ctr">
            <a:solidFill>
              <a:schemeClr val="accent6"/>
            </a:solidFill>
            <a:miter lim="800000"/>
          </a:ln>
          <a:effectLst>
            <a:glow rad="63500">
              <a:schemeClr val="accent6">
                <a:satMod val="175000"/>
                <a:alpha val="25000"/>
              </a:schemeClr>
            </a:glow>
          </a:effectLst>
        </c:spPr>
        <c:dLbl>
          <c:idx val="0"/>
          <c:layout>
            <c:manualLayout>
              <c:x val="-7.8277886497064575E-3"/>
              <c:y val="1.777052115977137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9525" cap="flat" cmpd="sng" algn="ctr">
            <a:solidFill>
              <a:schemeClr val="accent6"/>
            </a:solidFill>
            <a:miter lim="800000"/>
          </a:ln>
          <a:effectLst>
            <a:glow rad="63500">
              <a:schemeClr val="accent6">
                <a:satMod val="175000"/>
                <a:alpha val="25000"/>
              </a:schemeClr>
            </a:glow>
          </a:effectLst>
        </c:spPr>
        <c:dLbl>
          <c:idx val="0"/>
          <c:layout>
            <c:manualLayout>
              <c:x val="0"/>
              <c:y val="8.8519035455015879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w="9525" cap="flat" cmpd="sng" algn="ctr">
            <a:solidFill>
              <a:schemeClr val="accent6"/>
            </a:solidFill>
            <a:miter lim="800000"/>
          </a:ln>
          <a:effectLst>
            <a:glow rad="63500">
              <a:schemeClr val="accent6">
                <a:satMod val="175000"/>
                <a:alpha val="25000"/>
              </a:schemeClr>
            </a:glow>
          </a:effectLst>
        </c:spPr>
        <c:dLbl>
          <c:idx val="0"/>
          <c:layout>
            <c:manualLayout>
              <c:x val="1.0437051532941943E-2"/>
              <c:y val="8.8519035455015462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9.6917196937775285E-2"/>
          <c:w val="0.96500193330111161"/>
          <c:h val="0.81522275246858522"/>
        </c:manualLayout>
      </c:layout>
      <c:barChart>
        <c:barDir val="col"/>
        <c:grouping val="clustered"/>
        <c:varyColors val="0"/>
        <c:ser>
          <c:idx val="0"/>
          <c:order val="0"/>
          <c:tx>
            <c:strRef>
              <c:f>'Months 2025'!$B$3</c:f>
              <c:strCache>
                <c:ptCount val="1"/>
                <c:pt idx="0">
                  <c:v>Total</c:v>
                </c:pt>
              </c:strCache>
            </c:strRef>
          </c:tx>
          <c:spPr>
            <a:solidFill>
              <a:srgbClr val="00B050"/>
            </a:solidFill>
            <a:ln w="9525" cap="flat" cmpd="sng" algn="ctr">
              <a:solidFill>
                <a:schemeClr val="accent6"/>
              </a:solidFill>
              <a:miter lim="800000"/>
            </a:ln>
            <a:effectLst>
              <a:glow rad="63500">
                <a:schemeClr val="accent6">
                  <a:satMod val="175000"/>
                  <a:alpha val="25000"/>
                </a:schemeClr>
              </a:glow>
            </a:effectLst>
          </c:spPr>
          <c:invertIfNegative val="0"/>
          <c:dPt>
            <c:idx val="1"/>
            <c:invertIfNegative val="0"/>
            <c:bubble3D val="0"/>
            <c:spPr>
              <a:solidFill>
                <a:srgbClr val="00B050"/>
              </a:solid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0-40CC-4A28-A40C-335AB6497EEE}"/>
              </c:ext>
            </c:extLst>
          </c:dPt>
          <c:dPt>
            <c:idx val="3"/>
            <c:invertIfNegative val="0"/>
            <c:bubble3D val="0"/>
            <c:spPr>
              <a:solidFill>
                <a:srgbClr val="00B050"/>
              </a:solid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1-40CC-4A28-A40C-335AB6497EEE}"/>
              </c:ext>
            </c:extLst>
          </c:dPt>
          <c:dPt>
            <c:idx val="5"/>
            <c:invertIfNegative val="0"/>
            <c:bubble3D val="0"/>
            <c:spPr>
              <a:solidFill>
                <a:srgbClr val="00B050"/>
              </a:solid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2-40CC-4A28-A40C-335AB6497EEE}"/>
              </c:ext>
            </c:extLst>
          </c:dPt>
          <c:dPt>
            <c:idx val="7"/>
            <c:invertIfNegative val="0"/>
            <c:bubble3D val="0"/>
            <c:spPr>
              <a:solidFill>
                <a:srgbClr val="00B050"/>
              </a:solid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3-40CC-4A28-A40C-335AB6497EEE}"/>
              </c:ext>
            </c:extLst>
          </c:dPt>
          <c:dPt>
            <c:idx val="11"/>
            <c:invertIfNegative val="0"/>
            <c:bubble3D val="0"/>
            <c:spPr>
              <a:solidFill>
                <a:srgbClr val="00B050"/>
              </a:solid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4-40CC-4A28-A40C-335AB6497EEE}"/>
              </c:ext>
            </c:extLst>
          </c:dPt>
          <c:dLbls>
            <c:dLbl>
              <c:idx val="1"/>
              <c:layout>
                <c:manualLayout>
                  <c:x val="-1.1958983396965942E-17"/>
                  <c:y val="8.85190354550154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CC-4A28-A40C-335AB6497EEE}"/>
                </c:ext>
              </c:extLst>
            </c:dLbl>
            <c:dLbl>
              <c:idx val="3"/>
              <c:layout>
                <c:manualLayout>
                  <c:x val="0"/>
                  <c:y val="3.11484475811760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CC-4A28-A40C-335AB6497EEE}"/>
                </c:ext>
              </c:extLst>
            </c:dLbl>
            <c:dLbl>
              <c:idx val="5"/>
              <c:layout>
                <c:manualLayout>
                  <c:x val="-7.8277886497064575E-3"/>
                  <c:y val="1.77705211597713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CC-4A28-A40C-335AB6497EEE}"/>
                </c:ext>
              </c:extLst>
            </c:dLbl>
            <c:dLbl>
              <c:idx val="7"/>
              <c:layout>
                <c:manualLayout>
                  <c:x val="0"/>
                  <c:y val="8.85190354550158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CC-4A28-A40C-335AB6497EEE}"/>
                </c:ext>
              </c:extLst>
            </c:dLbl>
            <c:dLbl>
              <c:idx val="11"/>
              <c:layout>
                <c:manualLayout>
                  <c:x val="1.0437051532941943E-2"/>
                  <c:y val="8.85190354550154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CC-4A28-A40C-335AB6497EE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'Months 2025'!$A$4:$A$16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2025'!$B$4:$B$16</c:f>
              <c:numCache>
                <c:formatCode>"RM"#,##0</c:formatCode>
                <c:ptCount val="12"/>
                <c:pt idx="0">
                  <c:v>1669577</c:v>
                </c:pt>
                <c:pt idx="1">
                  <c:v>947470</c:v>
                </c:pt>
                <c:pt idx="2">
                  <c:v>1383290</c:v>
                </c:pt>
                <c:pt idx="3">
                  <c:v>1425084</c:v>
                </c:pt>
                <c:pt idx="4">
                  <c:v>1242283</c:v>
                </c:pt>
                <c:pt idx="5">
                  <c:v>1511860</c:v>
                </c:pt>
                <c:pt idx="6">
                  <c:v>1272228</c:v>
                </c:pt>
                <c:pt idx="7">
                  <c:v>1577535</c:v>
                </c:pt>
                <c:pt idx="8">
                  <c:v>1462047</c:v>
                </c:pt>
                <c:pt idx="9">
                  <c:v>1110751</c:v>
                </c:pt>
                <c:pt idx="10">
                  <c:v>1298609</c:v>
                </c:pt>
                <c:pt idx="11">
                  <c:v>1340601</c:v>
                </c:pt>
              </c:numCache>
            </c:numRef>
          </c:val>
          <c:extLst>
            <c:ext xmlns:c16="http://schemas.microsoft.com/office/drawing/2014/chart" uri="{C3380CC4-5D6E-409C-BE32-E72D297353CC}">
              <c16:uniqueId val="{00000005-40CC-4A28-A40C-335AB6497EEE}"/>
            </c:ext>
          </c:extLst>
        </c:ser>
        <c:dLbls>
          <c:showLegendKey val="0"/>
          <c:showVal val="0"/>
          <c:showCatName val="0"/>
          <c:showSerName val="0"/>
          <c:showPercent val="0"/>
          <c:showBubbleSize val="0"/>
        </c:dLbls>
        <c:gapWidth val="315"/>
        <c:overlap val="-40"/>
        <c:axId val="682865016"/>
        <c:axId val="682868536"/>
      </c:barChart>
      <c:catAx>
        <c:axId val="682865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82868536"/>
        <c:crosses val="autoZero"/>
        <c:auto val="1"/>
        <c:lblAlgn val="ctr"/>
        <c:lblOffset val="100"/>
        <c:noMultiLvlLbl val="0"/>
      </c:catAx>
      <c:valAx>
        <c:axId val="682868536"/>
        <c:scaling>
          <c:orientation val="minMax"/>
        </c:scaling>
        <c:delete val="1"/>
        <c:axPos val="l"/>
        <c:numFmt formatCode="&quot;RM&quot;#,##0" sourceLinked="1"/>
        <c:majorTickMark val="none"/>
        <c:minorTickMark val="none"/>
        <c:tickLblPos val="nextTo"/>
        <c:crossAx val="682865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11205</xdr:colOff>
      <xdr:row>5</xdr:row>
      <xdr:rowOff>74083</xdr:rowOff>
    </xdr:from>
    <xdr:to>
      <xdr:col>7</xdr:col>
      <xdr:colOff>1232646</xdr:colOff>
      <xdr:row>21</xdr:row>
      <xdr:rowOff>95250</xdr:rowOff>
    </xdr:to>
    <xdr:graphicFrame macro="">
      <xdr:nvGraphicFramePr>
        <xdr:cNvPr id="2" name="Chart 1">
          <a:extLst>
            <a:ext uri="{FF2B5EF4-FFF2-40B4-BE49-F238E27FC236}">
              <a16:creationId xmlns:a16="http://schemas.microsoft.com/office/drawing/2014/main" id="{A1DB453A-4A42-748B-B26A-893C2E088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455081</xdr:colOff>
      <xdr:row>21</xdr:row>
      <xdr:rowOff>148166</xdr:rowOff>
    </xdr:from>
    <xdr:to>
      <xdr:col>12</xdr:col>
      <xdr:colOff>0</xdr:colOff>
      <xdr:row>39</xdr:row>
      <xdr:rowOff>87923</xdr:rowOff>
    </xdr:to>
    <xdr:graphicFrame macro="">
      <xdr:nvGraphicFramePr>
        <xdr:cNvPr id="3" name="Chart 1">
          <a:extLst>
            <a:ext uri="{FF2B5EF4-FFF2-40B4-BE49-F238E27FC236}">
              <a16:creationId xmlns:a16="http://schemas.microsoft.com/office/drawing/2014/main" id="{B03AEBC6-3699-248C-137D-0E944D267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1288677</xdr:colOff>
      <xdr:row>5</xdr:row>
      <xdr:rowOff>81305</xdr:rowOff>
    </xdr:from>
    <xdr:to>
      <xdr:col>11</xdr:col>
      <xdr:colOff>1151093</xdr:colOff>
      <xdr:row>21</xdr:row>
      <xdr:rowOff>89647</xdr:rowOff>
    </xdr:to>
    <xdr:graphicFrame macro="">
      <xdr:nvGraphicFramePr>
        <xdr:cNvPr id="4" name="Chart 1">
          <a:extLst>
            <a:ext uri="{FF2B5EF4-FFF2-40B4-BE49-F238E27FC236}">
              <a16:creationId xmlns:a16="http://schemas.microsoft.com/office/drawing/2014/main" id="{66D8DB48-5BAF-2E7C-E8AC-BF1DB42EA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5954</xdr:colOff>
      <xdr:row>21</xdr:row>
      <xdr:rowOff>146050</xdr:rowOff>
    </xdr:from>
    <xdr:to>
      <xdr:col>7</xdr:col>
      <xdr:colOff>380999</xdr:colOff>
      <xdr:row>39</xdr:row>
      <xdr:rowOff>84667</xdr:rowOff>
    </xdr:to>
    <xdr:graphicFrame macro="">
      <xdr:nvGraphicFramePr>
        <xdr:cNvPr id="5" name="Chart 1">
          <a:extLst>
            <a:ext uri="{FF2B5EF4-FFF2-40B4-BE49-F238E27FC236}">
              <a16:creationId xmlns:a16="http://schemas.microsoft.com/office/drawing/2014/main" id="{B0E6A532-9559-D145-4898-B12C23B37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448236</xdr:rowOff>
    </xdr:from>
    <xdr:to>
      <xdr:col>1</xdr:col>
      <xdr:colOff>1122613</xdr:colOff>
      <xdr:row>9</xdr:row>
      <xdr:rowOff>134471</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D0EE0404-B95D-9846-18FE-994BB5040CE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48236"/>
              <a:ext cx="2327207" cy="187138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22412</xdr:rowOff>
    </xdr:from>
    <xdr:to>
      <xdr:col>2</xdr:col>
      <xdr:colOff>0</xdr:colOff>
      <xdr:row>23</xdr:row>
      <xdr:rowOff>0</xdr:rowOff>
    </xdr:to>
    <mc:AlternateContent xmlns:mc="http://schemas.openxmlformats.org/markup-compatibility/2006" xmlns:a14="http://schemas.microsoft.com/office/drawing/2010/main">
      <mc:Choice Requires="a14">
        <xdr:graphicFrame macro="">
          <xdr:nvGraphicFramePr>
            <xdr:cNvPr id="10" name="Salesperson">
              <a:extLst>
                <a:ext uri="{FF2B5EF4-FFF2-40B4-BE49-F238E27FC236}">
                  <a16:creationId xmlns:a16="http://schemas.microsoft.com/office/drawing/2014/main" id="{7AD40ED4-1018-0653-8462-C41DAAAA370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2398059"/>
              <a:ext cx="2308412" cy="198344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xdr:rowOff>
    </xdr:from>
    <xdr:to>
      <xdr:col>1</xdr:col>
      <xdr:colOff>1098176</xdr:colOff>
      <xdr:row>30</xdr:row>
      <xdr:rowOff>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91BB2B9F-149E-FFF9-6697-24933B564E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325472"/>
              <a:ext cx="2263588" cy="134470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0</xdr:rowOff>
    </xdr:from>
    <xdr:to>
      <xdr:col>1</xdr:col>
      <xdr:colOff>1122612</xdr:colOff>
      <xdr:row>39</xdr:row>
      <xdr:rowOff>89646</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5C62F704-3E99-E0A4-4E06-E67BC058DB5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6376147"/>
              <a:ext cx="2288024" cy="161364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2.881422800929" createdVersion="8" refreshedVersion="8" minRefreshableVersion="3" recordCount="1500" xr:uid="{F989BA62-042B-412B-9A16-94D1A1ECAA8E}">
  <cacheSource type="worksheet">
    <worksheetSource ref="A1:H1501" sheet="in"/>
  </cacheSource>
  <cacheFields count="8">
    <cacheField name="Date" numFmtId="14">
      <sharedItems containsSemiMixedTypes="0" containsNonDate="0" containsDate="1" containsString="0" minDate="2023-01-01T00:00:00" maxDate="2026-01-01T00:00:00"/>
    </cacheField>
    <cacheField name="Month" numFmtId="0">
      <sharedItems count="12">
        <s v="Nov"/>
        <s v="May"/>
        <s v="Jun"/>
        <s v="Jul"/>
        <s v="Sep"/>
        <s v="Jan"/>
        <s v="Oct"/>
        <s v="Apr"/>
        <s v="Dec"/>
        <s v="Aug"/>
        <s v="Feb"/>
        <s v="Mar"/>
      </sharedItems>
    </cacheField>
    <cacheField name="Product Name" numFmtId="0">
      <sharedItems count="10">
        <s v="Printer"/>
        <s v="Headphones"/>
        <s v="Laptop"/>
        <s v="Tablet"/>
        <s v="Mouse"/>
        <s v="Camera"/>
        <s v="Keyboard"/>
        <s v="Monitor"/>
        <s v="Smartphone"/>
        <s v="Smartwatch"/>
      </sharedItems>
    </cacheField>
    <cacheField name="Category" numFmtId="0">
      <sharedItems/>
    </cacheField>
    <cacheField name="Units Sold" numFmtId="0">
      <sharedItems containsSemiMixedTypes="0" containsString="0" containsNumber="1" containsInteger="1" minValue="1" maxValue="20"/>
    </cacheField>
    <cacheField name="Revenue" numFmtId="164">
      <sharedItems containsSemiMixedTypes="0" containsString="0" containsNumber="1" containsInteger="1" minValue="85" maxValue="39880"/>
    </cacheField>
    <cacheField name="Region" numFmtId="0">
      <sharedItems count="5">
        <s v="East"/>
        <s v="Central"/>
        <s v="South"/>
        <s v="West"/>
        <s v="North"/>
      </sharedItems>
    </cacheField>
    <cacheField name="Salesperson" numFmtId="0">
      <sharedItems count="8">
        <s v="Daniel Lim"/>
        <s v="Alex Tan"/>
        <s v="Grace Ong"/>
        <s v="Farid Rahman"/>
        <s v="Brian Lee"/>
        <s v="Catherine Wong"/>
        <s v="Hafiz Noor"/>
        <s v="Emily Chua"/>
      </sharedItems>
    </cacheField>
  </cacheFields>
  <extLst>
    <ext xmlns:x14="http://schemas.microsoft.com/office/spreadsheetml/2009/9/main" uri="{725AE2AE-9491-48be-B2B4-4EB974FC3084}">
      <x14:pivotCacheDefinition pivotCacheId="1131304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11-10T00:00:00"/>
    <x v="0"/>
    <x v="0"/>
    <s v="Office"/>
    <n v="9"/>
    <n v="14751"/>
    <x v="0"/>
    <x v="0"/>
  </r>
  <r>
    <d v="2025-05-06T00:00:00"/>
    <x v="1"/>
    <x v="1"/>
    <s v="Accessories"/>
    <n v="6"/>
    <n v="8532"/>
    <x v="1"/>
    <x v="1"/>
  </r>
  <r>
    <d v="2024-06-26T00:00:00"/>
    <x v="2"/>
    <x v="0"/>
    <s v="Office"/>
    <n v="18"/>
    <n v="10764"/>
    <x v="1"/>
    <x v="2"/>
  </r>
  <r>
    <d v="2023-07-07T00:00:00"/>
    <x v="3"/>
    <x v="2"/>
    <s v="Computers"/>
    <n v="18"/>
    <n v="5472"/>
    <x v="1"/>
    <x v="3"/>
  </r>
  <r>
    <d v="2024-09-13T00:00:00"/>
    <x v="4"/>
    <x v="3"/>
    <s v="Mobile"/>
    <n v="13"/>
    <n v="19266"/>
    <x v="2"/>
    <x v="4"/>
  </r>
  <r>
    <d v="2025-01-11T00:00:00"/>
    <x v="5"/>
    <x v="4"/>
    <s v="Accessories"/>
    <n v="16"/>
    <n v="19504"/>
    <x v="3"/>
    <x v="5"/>
  </r>
  <r>
    <d v="2023-10-09T00:00:00"/>
    <x v="6"/>
    <x v="1"/>
    <s v="Accessories"/>
    <n v="8"/>
    <n v="12056"/>
    <x v="0"/>
    <x v="6"/>
  </r>
  <r>
    <d v="2023-06-20T00:00:00"/>
    <x v="2"/>
    <x v="5"/>
    <s v="Electronics"/>
    <n v="16"/>
    <n v="4800"/>
    <x v="1"/>
    <x v="0"/>
  </r>
  <r>
    <d v="2024-01-23T00:00:00"/>
    <x v="5"/>
    <x v="6"/>
    <s v="Accessories"/>
    <n v="18"/>
    <n v="9972"/>
    <x v="3"/>
    <x v="2"/>
  </r>
  <r>
    <d v="2025-09-18T00:00:00"/>
    <x v="4"/>
    <x v="4"/>
    <s v="Accessories"/>
    <n v="10"/>
    <n v="7460"/>
    <x v="0"/>
    <x v="5"/>
  </r>
  <r>
    <d v="2024-01-08T00:00:00"/>
    <x v="5"/>
    <x v="7"/>
    <s v="Computers"/>
    <n v="3"/>
    <n v="1062"/>
    <x v="0"/>
    <x v="2"/>
  </r>
  <r>
    <d v="2025-10-28T00:00:00"/>
    <x v="6"/>
    <x v="7"/>
    <s v="Computers"/>
    <n v="16"/>
    <n v="8816"/>
    <x v="4"/>
    <x v="4"/>
  </r>
  <r>
    <d v="2025-04-27T00:00:00"/>
    <x v="7"/>
    <x v="8"/>
    <s v="Mobile"/>
    <n v="20"/>
    <n v="36940"/>
    <x v="4"/>
    <x v="0"/>
  </r>
  <r>
    <d v="2025-12-08T00:00:00"/>
    <x v="8"/>
    <x v="1"/>
    <s v="Accessories"/>
    <n v="14"/>
    <n v="6762"/>
    <x v="3"/>
    <x v="0"/>
  </r>
  <r>
    <d v="2023-09-07T00:00:00"/>
    <x v="4"/>
    <x v="4"/>
    <s v="Accessories"/>
    <n v="7"/>
    <n v="13979"/>
    <x v="1"/>
    <x v="5"/>
  </r>
  <r>
    <d v="2025-09-03T00:00:00"/>
    <x v="4"/>
    <x v="6"/>
    <s v="Accessories"/>
    <n v="5"/>
    <n v="7075"/>
    <x v="2"/>
    <x v="7"/>
  </r>
  <r>
    <d v="2025-05-01T00:00:00"/>
    <x v="1"/>
    <x v="0"/>
    <s v="Office"/>
    <n v="20"/>
    <n v="20640"/>
    <x v="3"/>
    <x v="0"/>
  </r>
  <r>
    <d v="2024-01-07T00:00:00"/>
    <x v="5"/>
    <x v="2"/>
    <s v="Computers"/>
    <n v="6"/>
    <n v="4884"/>
    <x v="2"/>
    <x v="4"/>
  </r>
  <r>
    <d v="2023-04-23T00:00:00"/>
    <x v="7"/>
    <x v="9"/>
    <s v="Wearables"/>
    <n v="16"/>
    <n v="19376"/>
    <x v="2"/>
    <x v="3"/>
  </r>
  <r>
    <d v="2024-04-24T00:00:00"/>
    <x v="7"/>
    <x v="3"/>
    <s v="Mobile"/>
    <n v="1"/>
    <n v="1835"/>
    <x v="0"/>
    <x v="1"/>
  </r>
  <r>
    <d v="2024-10-30T00:00:00"/>
    <x v="6"/>
    <x v="0"/>
    <s v="Office"/>
    <n v="3"/>
    <n v="3081"/>
    <x v="1"/>
    <x v="5"/>
  </r>
  <r>
    <d v="2025-04-04T00:00:00"/>
    <x v="7"/>
    <x v="9"/>
    <s v="Wearables"/>
    <n v="15"/>
    <n v="26775"/>
    <x v="4"/>
    <x v="4"/>
  </r>
  <r>
    <d v="2024-10-14T00:00:00"/>
    <x v="6"/>
    <x v="9"/>
    <s v="Wearables"/>
    <n v="2"/>
    <n v="2848"/>
    <x v="2"/>
    <x v="2"/>
  </r>
  <r>
    <d v="2023-04-07T00:00:00"/>
    <x v="7"/>
    <x v="7"/>
    <s v="Computers"/>
    <n v="8"/>
    <n v="9760"/>
    <x v="2"/>
    <x v="5"/>
  </r>
  <r>
    <d v="2023-01-29T00:00:00"/>
    <x v="5"/>
    <x v="8"/>
    <s v="Mobile"/>
    <n v="16"/>
    <n v="20688"/>
    <x v="4"/>
    <x v="4"/>
  </r>
  <r>
    <d v="2023-04-04T00:00:00"/>
    <x v="7"/>
    <x v="6"/>
    <s v="Accessories"/>
    <n v="10"/>
    <n v="600"/>
    <x v="2"/>
    <x v="6"/>
  </r>
  <r>
    <d v="2024-08-07T00:00:00"/>
    <x v="9"/>
    <x v="7"/>
    <s v="Computers"/>
    <n v="1"/>
    <n v="161"/>
    <x v="3"/>
    <x v="7"/>
  </r>
  <r>
    <d v="2024-08-30T00:00:00"/>
    <x v="9"/>
    <x v="6"/>
    <s v="Accessories"/>
    <n v="2"/>
    <n v="2390"/>
    <x v="1"/>
    <x v="6"/>
  </r>
  <r>
    <d v="2025-02-27T00:00:00"/>
    <x v="10"/>
    <x v="4"/>
    <s v="Accessories"/>
    <n v="10"/>
    <n v="13490"/>
    <x v="4"/>
    <x v="0"/>
  </r>
  <r>
    <d v="2024-09-03T00:00:00"/>
    <x v="4"/>
    <x v="7"/>
    <s v="Computers"/>
    <n v="15"/>
    <n v="25125"/>
    <x v="0"/>
    <x v="1"/>
  </r>
  <r>
    <d v="2025-08-04T00:00:00"/>
    <x v="9"/>
    <x v="2"/>
    <s v="Computers"/>
    <n v="13"/>
    <n v="7839"/>
    <x v="0"/>
    <x v="3"/>
  </r>
  <r>
    <d v="2025-12-11T00:00:00"/>
    <x v="8"/>
    <x v="6"/>
    <s v="Accessories"/>
    <n v="10"/>
    <n v="11940"/>
    <x v="0"/>
    <x v="4"/>
  </r>
  <r>
    <d v="2023-03-07T00:00:00"/>
    <x v="11"/>
    <x v="6"/>
    <s v="Accessories"/>
    <n v="3"/>
    <n v="2499"/>
    <x v="1"/>
    <x v="6"/>
  </r>
  <r>
    <d v="2023-09-13T00:00:00"/>
    <x v="4"/>
    <x v="0"/>
    <s v="Office"/>
    <n v="6"/>
    <n v="10620"/>
    <x v="4"/>
    <x v="1"/>
  </r>
  <r>
    <d v="2024-02-09T00:00:00"/>
    <x v="10"/>
    <x v="3"/>
    <s v="Mobile"/>
    <n v="13"/>
    <n v="1599"/>
    <x v="4"/>
    <x v="1"/>
  </r>
  <r>
    <d v="2024-11-13T00:00:00"/>
    <x v="0"/>
    <x v="5"/>
    <s v="Electronics"/>
    <n v="13"/>
    <n v="9932"/>
    <x v="4"/>
    <x v="1"/>
  </r>
  <r>
    <d v="2023-05-03T00:00:00"/>
    <x v="1"/>
    <x v="9"/>
    <s v="Wearables"/>
    <n v="4"/>
    <n v="6504"/>
    <x v="1"/>
    <x v="0"/>
  </r>
  <r>
    <d v="2025-08-16T00:00:00"/>
    <x v="9"/>
    <x v="5"/>
    <s v="Electronics"/>
    <n v="7"/>
    <n v="8316"/>
    <x v="0"/>
    <x v="2"/>
  </r>
  <r>
    <d v="2023-09-25T00:00:00"/>
    <x v="4"/>
    <x v="6"/>
    <s v="Accessories"/>
    <n v="19"/>
    <n v="32528"/>
    <x v="4"/>
    <x v="4"/>
  </r>
  <r>
    <d v="2025-01-12T00:00:00"/>
    <x v="5"/>
    <x v="6"/>
    <s v="Accessories"/>
    <n v="20"/>
    <n v="36120"/>
    <x v="4"/>
    <x v="4"/>
  </r>
  <r>
    <d v="2025-11-22T00:00:00"/>
    <x v="0"/>
    <x v="7"/>
    <s v="Computers"/>
    <n v="19"/>
    <n v="35093"/>
    <x v="1"/>
    <x v="6"/>
  </r>
  <r>
    <d v="2025-02-20T00:00:00"/>
    <x v="10"/>
    <x v="2"/>
    <s v="Computers"/>
    <n v="20"/>
    <n v="13940"/>
    <x v="1"/>
    <x v="2"/>
  </r>
  <r>
    <d v="2023-09-13T00:00:00"/>
    <x v="4"/>
    <x v="2"/>
    <s v="Computers"/>
    <n v="13"/>
    <n v="12506"/>
    <x v="3"/>
    <x v="4"/>
  </r>
  <r>
    <d v="2025-10-22T00:00:00"/>
    <x v="6"/>
    <x v="7"/>
    <s v="Computers"/>
    <n v="18"/>
    <n v="22626"/>
    <x v="4"/>
    <x v="7"/>
  </r>
  <r>
    <d v="2025-04-01T00:00:00"/>
    <x v="7"/>
    <x v="6"/>
    <s v="Accessories"/>
    <n v="3"/>
    <n v="4506"/>
    <x v="0"/>
    <x v="4"/>
  </r>
  <r>
    <d v="2025-03-29T00:00:00"/>
    <x v="11"/>
    <x v="0"/>
    <s v="Office"/>
    <n v="13"/>
    <n v="4004"/>
    <x v="0"/>
    <x v="4"/>
  </r>
  <r>
    <d v="2024-02-20T00:00:00"/>
    <x v="10"/>
    <x v="2"/>
    <s v="Computers"/>
    <n v="1"/>
    <n v="997"/>
    <x v="0"/>
    <x v="0"/>
  </r>
  <r>
    <d v="2023-04-25T00:00:00"/>
    <x v="7"/>
    <x v="7"/>
    <s v="Computers"/>
    <n v="10"/>
    <n v="12920"/>
    <x v="3"/>
    <x v="6"/>
  </r>
  <r>
    <d v="2024-01-14T00:00:00"/>
    <x v="5"/>
    <x v="5"/>
    <s v="Electronics"/>
    <n v="16"/>
    <n v="18656"/>
    <x v="2"/>
    <x v="0"/>
  </r>
  <r>
    <d v="2024-01-30T00:00:00"/>
    <x v="5"/>
    <x v="6"/>
    <s v="Accessories"/>
    <n v="8"/>
    <n v="6048"/>
    <x v="2"/>
    <x v="4"/>
  </r>
  <r>
    <d v="2024-09-20T00:00:00"/>
    <x v="4"/>
    <x v="8"/>
    <s v="Mobile"/>
    <n v="19"/>
    <n v="20957"/>
    <x v="0"/>
    <x v="2"/>
  </r>
  <r>
    <d v="2025-07-25T00:00:00"/>
    <x v="3"/>
    <x v="1"/>
    <s v="Accessories"/>
    <n v="20"/>
    <n v="33760"/>
    <x v="2"/>
    <x v="5"/>
  </r>
  <r>
    <d v="2024-03-26T00:00:00"/>
    <x v="11"/>
    <x v="9"/>
    <s v="Wearables"/>
    <n v="7"/>
    <n v="10388"/>
    <x v="3"/>
    <x v="6"/>
  </r>
  <r>
    <d v="2025-04-18T00:00:00"/>
    <x v="7"/>
    <x v="2"/>
    <s v="Computers"/>
    <n v="19"/>
    <n v="25213"/>
    <x v="2"/>
    <x v="0"/>
  </r>
  <r>
    <d v="2024-05-19T00:00:00"/>
    <x v="1"/>
    <x v="7"/>
    <s v="Computers"/>
    <n v="2"/>
    <n v="990"/>
    <x v="4"/>
    <x v="2"/>
  </r>
  <r>
    <d v="2024-10-28T00:00:00"/>
    <x v="6"/>
    <x v="8"/>
    <s v="Mobile"/>
    <n v="12"/>
    <n v="5784"/>
    <x v="4"/>
    <x v="4"/>
  </r>
  <r>
    <d v="2023-11-29T00:00:00"/>
    <x v="0"/>
    <x v="9"/>
    <s v="Wearables"/>
    <n v="14"/>
    <n v="17276"/>
    <x v="2"/>
    <x v="4"/>
  </r>
  <r>
    <d v="2025-03-17T00:00:00"/>
    <x v="11"/>
    <x v="3"/>
    <s v="Mobile"/>
    <n v="17"/>
    <n v="15062"/>
    <x v="1"/>
    <x v="0"/>
  </r>
  <r>
    <d v="2023-03-08T00:00:00"/>
    <x v="11"/>
    <x v="5"/>
    <s v="Electronics"/>
    <n v="16"/>
    <n v="11200"/>
    <x v="1"/>
    <x v="0"/>
  </r>
  <r>
    <d v="2024-11-26T00:00:00"/>
    <x v="0"/>
    <x v="8"/>
    <s v="Mobile"/>
    <n v="19"/>
    <n v="19969"/>
    <x v="1"/>
    <x v="2"/>
  </r>
  <r>
    <d v="2024-01-23T00:00:00"/>
    <x v="5"/>
    <x v="4"/>
    <s v="Accessories"/>
    <n v="20"/>
    <n v="12040"/>
    <x v="3"/>
    <x v="2"/>
  </r>
  <r>
    <d v="2024-08-19T00:00:00"/>
    <x v="9"/>
    <x v="6"/>
    <s v="Accessories"/>
    <n v="11"/>
    <n v="5280"/>
    <x v="1"/>
    <x v="7"/>
  </r>
  <r>
    <d v="2023-06-19T00:00:00"/>
    <x v="2"/>
    <x v="9"/>
    <s v="Wearables"/>
    <n v="16"/>
    <n v="30512"/>
    <x v="2"/>
    <x v="5"/>
  </r>
  <r>
    <d v="2023-01-20T00:00:00"/>
    <x v="5"/>
    <x v="2"/>
    <s v="Computers"/>
    <n v="2"/>
    <n v="3154"/>
    <x v="4"/>
    <x v="3"/>
  </r>
  <r>
    <d v="2024-02-09T00:00:00"/>
    <x v="10"/>
    <x v="6"/>
    <s v="Accessories"/>
    <n v="4"/>
    <n v="3756"/>
    <x v="4"/>
    <x v="5"/>
  </r>
  <r>
    <d v="2024-09-25T00:00:00"/>
    <x v="4"/>
    <x v="9"/>
    <s v="Wearables"/>
    <n v="14"/>
    <n v="8988"/>
    <x v="0"/>
    <x v="5"/>
  </r>
  <r>
    <d v="2023-11-04T00:00:00"/>
    <x v="0"/>
    <x v="4"/>
    <s v="Accessories"/>
    <n v="9"/>
    <n v="3366"/>
    <x v="2"/>
    <x v="6"/>
  </r>
  <r>
    <d v="2025-05-26T00:00:00"/>
    <x v="1"/>
    <x v="5"/>
    <s v="Electronics"/>
    <n v="13"/>
    <n v="17238"/>
    <x v="4"/>
    <x v="2"/>
  </r>
  <r>
    <d v="2025-12-17T00:00:00"/>
    <x v="8"/>
    <x v="2"/>
    <s v="Computers"/>
    <n v="16"/>
    <n v="6144"/>
    <x v="4"/>
    <x v="5"/>
  </r>
  <r>
    <d v="2024-07-26T00:00:00"/>
    <x v="3"/>
    <x v="3"/>
    <s v="Mobile"/>
    <n v="6"/>
    <n v="2796"/>
    <x v="4"/>
    <x v="2"/>
  </r>
  <r>
    <d v="2024-01-12T00:00:00"/>
    <x v="5"/>
    <x v="9"/>
    <s v="Wearables"/>
    <n v="19"/>
    <n v="14174"/>
    <x v="1"/>
    <x v="3"/>
  </r>
  <r>
    <d v="2024-11-27T00:00:00"/>
    <x v="0"/>
    <x v="7"/>
    <s v="Computers"/>
    <n v="11"/>
    <n v="15026"/>
    <x v="2"/>
    <x v="6"/>
  </r>
  <r>
    <d v="2023-12-21T00:00:00"/>
    <x v="8"/>
    <x v="4"/>
    <s v="Accessories"/>
    <n v="8"/>
    <n v="880"/>
    <x v="3"/>
    <x v="1"/>
  </r>
  <r>
    <d v="2024-07-11T00:00:00"/>
    <x v="3"/>
    <x v="1"/>
    <s v="Accessories"/>
    <n v="16"/>
    <n v="1728"/>
    <x v="3"/>
    <x v="4"/>
  </r>
  <r>
    <d v="2025-06-26T00:00:00"/>
    <x v="2"/>
    <x v="1"/>
    <s v="Accessories"/>
    <n v="18"/>
    <n v="23328"/>
    <x v="2"/>
    <x v="2"/>
  </r>
  <r>
    <d v="2024-09-10T00:00:00"/>
    <x v="4"/>
    <x v="5"/>
    <s v="Electronics"/>
    <n v="6"/>
    <n v="11940"/>
    <x v="2"/>
    <x v="6"/>
  </r>
  <r>
    <d v="2023-11-22T00:00:00"/>
    <x v="0"/>
    <x v="9"/>
    <s v="Wearables"/>
    <n v="9"/>
    <n v="8820"/>
    <x v="3"/>
    <x v="7"/>
  </r>
  <r>
    <d v="2025-12-14T00:00:00"/>
    <x v="8"/>
    <x v="0"/>
    <s v="Office"/>
    <n v="5"/>
    <n v="9660"/>
    <x v="0"/>
    <x v="4"/>
  </r>
  <r>
    <d v="2025-11-29T00:00:00"/>
    <x v="0"/>
    <x v="8"/>
    <s v="Mobile"/>
    <n v="4"/>
    <n v="6588"/>
    <x v="0"/>
    <x v="3"/>
  </r>
  <r>
    <d v="2025-05-08T00:00:00"/>
    <x v="1"/>
    <x v="6"/>
    <s v="Accessories"/>
    <n v="8"/>
    <n v="6640"/>
    <x v="4"/>
    <x v="7"/>
  </r>
  <r>
    <d v="2025-03-30T00:00:00"/>
    <x v="11"/>
    <x v="2"/>
    <s v="Computers"/>
    <n v="8"/>
    <n v="10712"/>
    <x v="2"/>
    <x v="2"/>
  </r>
  <r>
    <d v="2023-07-05T00:00:00"/>
    <x v="3"/>
    <x v="7"/>
    <s v="Computers"/>
    <n v="4"/>
    <n v="7288"/>
    <x v="1"/>
    <x v="5"/>
  </r>
  <r>
    <d v="2024-08-23T00:00:00"/>
    <x v="9"/>
    <x v="3"/>
    <s v="Mobile"/>
    <n v="8"/>
    <n v="15888"/>
    <x v="3"/>
    <x v="5"/>
  </r>
  <r>
    <d v="2023-12-18T00:00:00"/>
    <x v="8"/>
    <x v="1"/>
    <s v="Accessories"/>
    <n v="7"/>
    <n v="3325"/>
    <x v="1"/>
    <x v="2"/>
  </r>
  <r>
    <d v="2023-06-27T00:00:00"/>
    <x v="2"/>
    <x v="2"/>
    <s v="Computers"/>
    <n v="5"/>
    <n v="2470"/>
    <x v="4"/>
    <x v="7"/>
  </r>
  <r>
    <d v="2024-02-29T00:00:00"/>
    <x v="10"/>
    <x v="1"/>
    <s v="Accessories"/>
    <n v="2"/>
    <n v="1712"/>
    <x v="3"/>
    <x v="0"/>
  </r>
  <r>
    <d v="2024-10-12T00:00:00"/>
    <x v="6"/>
    <x v="6"/>
    <s v="Accessories"/>
    <n v="9"/>
    <n v="1575"/>
    <x v="4"/>
    <x v="3"/>
  </r>
  <r>
    <d v="2024-10-11T00:00:00"/>
    <x v="6"/>
    <x v="6"/>
    <s v="Accessories"/>
    <n v="5"/>
    <n v="4675"/>
    <x v="4"/>
    <x v="2"/>
  </r>
  <r>
    <d v="2025-01-24T00:00:00"/>
    <x v="5"/>
    <x v="6"/>
    <s v="Accessories"/>
    <n v="19"/>
    <n v="12407"/>
    <x v="1"/>
    <x v="0"/>
  </r>
  <r>
    <d v="2023-10-14T00:00:00"/>
    <x v="6"/>
    <x v="9"/>
    <s v="Wearables"/>
    <n v="2"/>
    <n v="1744"/>
    <x v="3"/>
    <x v="2"/>
  </r>
  <r>
    <d v="2024-05-22T00:00:00"/>
    <x v="1"/>
    <x v="0"/>
    <s v="Office"/>
    <n v="16"/>
    <n v="18512"/>
    <x v="1"/>
    <x v="7"/>
  </r>
  <r>
    <d v="2024-11-07T00:00:00"/>
    <x v="0"/>
    <x v="6"/>
    <s v="Accessories"/>
    <n v="17"/>
    <n v="16490"/>
    <x v="0"/>
    <x v="2"/>
  </r>
  <r>
    <d v="2025-01-18T00:00:00"/>
    <x v="5"/>
    <x v="1"/>
    <s v="Accessories"/>
    <n v="9"/>
    <n v="15705"/>
    <x v="3"/>
    <x v="6"/>
  </r>
  <r>
    <d v="2023-01-26T00:00:00"/>
    <x v="5"/>
    <x v="1"/>
    <s v="Accessories"/>
    <n v="5"/>
    <n v="6050"/>
    <x v="2"/>
    <x v="1"/>
  </r>
  <r>
    <d v="2025-01-07T00:00:00"/>
    <x v="5"/>
    <x v="0"/>
    <s v="Office"/>
    <n v="17"/>
    <n v="17595"/>
    <x v="3"/>
    <x v="4"/>
  </r>
  <r>
    <d v="2024-06-03T00:00:00"/>
    <x v="2"/>
    <x v="2"/>
    <s v="Computers"/>
    <n v="9"/>
    <n v="16857"/>
    <x v="0"/>
    <x v="5"/>
  </r>
  <r>
    <d v="2024-05-28T00:00:00"/>
    <x v="1"/>
    <x v="3"/>
    <s v="Mobile"/>
    <n v="20"/>
    <n v="6780"/>
    <x v="0"/>
    <x v="0"/>
  </r>
  <r>
    <d v="2025-06-27T00:00:00"/>
    <x v="2"/>
    <x v="6"/>
    <s v="Accessories"/>
    <n v="1"/>
    <n v="1484"/>
    <x v="4"/>
    <x v="0"/>
  </r>
  <r>
    <d v="2024-02-13T00:00:00"/>
    <x v="10"/>
    <x v="8"/>
    <s v="Mobile"/>
    <n v="18"/>
    <n v="16344"/>
    <x v="3"/>
    <x v="1"/>
  </r>
  <r>
    <d v="2024-04-11T00:00:00"/>
    <x v="7"/>
    <x v="5"/>
    <s v="Electronics"/>
    <n v="5"/>
    <n v="2160"/>
    <x v="1"/>
    <x v="6"/>
  </r>
  <r>
    <d v="2025-02-18T00:00:00"/>
    <x v="10"/>
    <x v="8"/>
    <s v="Mobile"/>
    <n v="3"/>
    <n v="4347"/>
    <x v="4"/>
    <x v="6"/>
  </r>
  <r>
    <d v="2024-04-04T00:00:00"/>
    <x v="7"/>
    <x v="4"/>
    <s v="Accessories"/>
    <n v="20"/>
    <n v="26840"/>
    <x v="3"/>
    <x v="2"/>
  </r>
  <r>
    <d v="2024-07-16T00:00:00"/>
    <x v="3"/>
    <x v="3"/>
    <s v="Mobile"/>
    <n v="6"/>
    <n v="1062"/>
    <x v="1"/>
    <x v="4"/>
  </r>
  <r>
    <d v="2023-05-26T00:00:00"/>
    <x v="1"/>
    <x v="9"/>
    <s v="Wearables"/>
    <n v="2"/>
    <n v="3164"/>
    <x v="4"/>
    <x v="4"/>
  </r>
  <r>
    <d v="2025-02-05T00:00:00"/>
    <x v="10"/>
    <x v="3"/>
    <s v="Mobile"/>
    <n v="20"/>
    <n v="3540"/>
    <x v="1"/>
    <x v="1"/>
  </r>
  <r>
    <d v="2023-03-10T00:00:00"/>
    <x v="11"/>
    <x v="3"/>
    <s v="Mobile"/>
    <n v="6"/>
    <n v="5862"/>
    <x v="2"/>
    <x v="2"/>
  </r>
  <r>
    <d v="2025-12-11T00:00:00"/>
    <x v="8"/>
    <x v="2"/>
    <s v="Computers"/>
    <n v="1"/>
    <n v="693"/>
    <x v="2"/>
    <x v="1"/>
  </r>
  <r>
    <d v="2025-06-17T00:00:00"/>
    <x v="2"/>
    <x v="0"/>
    <s v="Office"/>
    <n v="6"/>
    <n v="7254"/>
    <x v="1"/>
    <x v="4"/>
  </r>
  <r>
    <d v="2024-07-10T00:00:00"/>
    <x v="3"/>
    <x v="7"/>
    <s v="Computers"/>
    <n v="4"/>
    <n v="1708"/>
    <x v="4"/>
    <x v="3"/>
  </r>
  <r>
    <d v="2025-10-25T00:00:00"/>
    <x v="6"/>
    <x v="6"/>
    <s v="Accessories"/>
    <n v="15"/>
    <n v="1425"/>
    <x v="1"/>
    <x v="4"/>
  </r>
  <r>
    <d v="2025-11-07T00:00:00"/>
    <x v="0"/>
    <x v="7"/>
    <s v="Computers"/>
    <n v="15"/>
    <n v="6960"/>
    <x v="2"/>
    <x v="0"/>
  </r>
  <r>
    <d v="2023-09-06T00:00:00"/>
    <x v="4"/>
    <x v="8"/>
    <s v="Mobile"/>
    <n v="4"/>
    <n v="2988"/>
    <x v="2"/>
    <x v="7"/>
  </r>
  <r>
    <d v="2024-03-08T00:00:00"/>
    <x v="11"/>
    <x v="6"/>
    <s v="Accessories"/>
    <n v="6"/>
    <n v="3678"/>
    <x v="0"/>
    <x v="5"/>
  </r>
  <r>
    <d v="2023-09-21T00:00:00"/>
    <x v="4"/>
    <x v="6"/>
    <s v="Accessories"/>
    <n v="4"/>
    <n v="4860"/>
    <x v="2"/>
    <x v="7"/>
  </r>
  <r>
    <d v="2025-01-11T00:00:00"/>
    <x v="5"/>
    <x v="6"/>
    <s v="Accessories"/>
    <n v="1"/>
    <n v="1541"/>
    <x v="3"/>
    <x v="1"/>
  </r>
  <r>
    <d v="2025-09-17T00:00:00"/>
    <x v="4"/>
    <x v="0"/>
    <s v="Office"/>
    <n v="19"/>
    <n v="34941"/>
    <x v="0"/>
    <x v="1"/>
  </r>
  <r>
    <d v="2025-09-26T00:00:00"/>
    <x v="4"/>
    <x v="5"/>
    <s v="Electronics"/>
    <n v="18"/>
    <n v="18684"/>
    <x v="3"/>
    <x v="2"/>
  </r>
  <r>
    <d v="2024-05-17T00:00:00"/>
    <x v="1"/>
    <x v="5"/>
    <s v="Electronics"/>
    <n v="6"/>
    <n v="10182"/>
    <x v="3"/>
    <x v="4"/>
  </r>
  <r>
    <d v="2024-09-30T00:00:00"/>
    <x v="4"/>
    <x v="4"/>
    <s v="Accessories"/>
    <n v="5"/>
    <n v="6875"/>
    <x v="3"/>
    <x v="6"/>
  </r>
  <r>
    <d v="2025-09-07T00:00:00"/>
    <x v="4"/>
    <x v="6"/>
    <s v="Accessories"/>
    <n v="8"/>
    <n v="3344"/>
    <x v="0"/>
    <x v="2"/>
  </r>
  <r>
    <d v="2024-07-04T00:00:00"/>
    <x v="3"/>
    <x v="4"/>
    <s v="Accessories"/>
    <n v="8"/>
    <n v="1552"/>
    <x v="4"/>
    <x v="0"/>
  </r>
  <r>
    <d v="2025-10-31T00:00:00"/>
    <x v="6"/>
    <x v="5"/>
    <s v="Electronics"/>
    <n v="18"/>
    <n v="18414"/>
    <x v="1"/>
    <x v="0"/>
  </r>
  <r>
    <d v="2023-02-14T00:00:00"/>
    <x v="10"/>
    <x v="1"/>
    <s v="Accessories"/>
    <n v="2"/>
    <n v="2464"/>
    <x v="4"/>
    <x v="5"/>
  </r>
  <r>
    <d v="2025-04-23T00:00:00"/>
    <x v="7"/>
    <x v="1"/>
    <s v="Accessories"/>
    <n v="5"/>
    <n v="7500"/>
    <x v="0"/>
    <x v="2"/>
  </r>
  <r>
    <d v="2025-08-19T00:00:00"/>
    <x v="9"/>
    <x v="8"/>
    <s v="Mobile"/>
    <n v="15"/>
    <n v="29475"/>
    <x v="0"/>
    <x v="4"/>
  </r>
  <r>
    <d v="2024-04-02T00:00:00"/>
    <x v="7"/>
    <x v="3"/>
    <s v="Mobile"/>
    <n v="20"/>
    <n v="29100"/>
    <x v="2"/>
    <x v="5"/>
  </r>
  <r>
    <d v="2024-05-20T00:00:00"/>
    <x v="1"/>
    <x v="0"/>
    <s v="Office"/>
    <n v="11"/>
    <n v="2222"/>
    <x v="1"/>
    <x v="0"/>
  </r>
  <r>
    <d v="2024-03-09T00:00:00"/>
    <x v="11"/>
    <x v="5"/>
    <s v="Electronics"/>
    <n v="16"/>
    <n v="1280"/>
    <x v="2"/>
    <x v="4"/>
  </r>
  <r>
    <d v="2024-09-16T00:00:00"/>
    <x v="4"/>
    <x v="0"/>
    <s v="Office"/>
    <n v="19"/>
    <n v="23769"/>
    <x v="2"/>
    <x v="5"/>
  </r>
  <r>
    <d v="2023-11-22T00:00:00"/>
    <x v="0"/>
    <x v="8"/>
    <s v="Mobile"/>
    <n v="6"/>
    <n v="2940"/>
    <x v="3"/>
    <x v="5"/>
  </r>
  <r>
    <d v="2024-08-15T00:00:00"/>
    <x v="9"/>
    <x v="7"/>
    <s v="Computers"/>
    <n v="11"/>
    <n v="12221"/>
    <x v="0"/>
    <x v="1"/>
  </r>
  <r>
    <d v="2025-06-04T00:00:00"/>
    <x v="2"/>
    <x v="5"/>
    <s v="Electronics"/>
    <n v="1"/>
    <n v="1244"/>
    <x v="4"/>
    <x v="1"/>
  </r>
  <r>
    <d v="2024-11-02T00:00:00"/>
    <x v="0"/>
    <x v="2"/>
    <s v="Computers"/>
    <n v="2"/>
    <n v="816"/>
    <x v="2"/>
    <x v="1"/>
  </r>
  <r>
    <d v="2025-08-29T00:00:00"/>
    <x v="9"/>
    <x v="8"/>
    <s v="Mobile"/>
    <n v="14"/>
    <n v="22400"/>
    <x v="0"/>
    <x v="6"/>
  </r>
  <r>
    <d v="2023-06-17T00:00:00"/>
    <x v="2"/>
    <x v="2"/>
    <s v="Computers"/>
    <n v="10"/>
    <n v="19860"/>
    <x v="4"/>
    <x v="6"/>
  </r>
  <r>
    <d v="2023-07-04T00:00:00"/>
    <x v="3"/>
    <x v="2"/>
    <s v="Computers"/>
    <n v="1"/>
    <n v="1528"/>
    <x v="3"/>
    <x v="0"/>
  </r>
  <r>
    <d v="2025-02-20T00:00:00"/>
    <x v="10"/>
    <x v="7"/>
    <s v="Computers"/>
    <n v="4"/>
    <n v="828"/>
    <x v="1"/>
    <x v="0"/>
  </r>
  <r>
    <d v="2025-02-01T00:00:00"/>
    <x v="10"/>
    <x v="0"/>
    <s v="Office"/>
    <n v="18"/>
    <n v="24840"/>
    <x v="0"/>
    <x v="6"/>
  </r>
  <r>
    <d v="2023-11-18T00:00:00"/>
    <x v="0"/>
    <x v="4"/>
    <s v="Accessories"/>
    <n v="18"/>
    <n v="2376"/>
    <x v="1"/>
    <x v="4"/>
  </r>
  <r>
    <d v="2024-05-15T00:00:00"/>
    <x v="1"/>
    <x v="3"/>
    <s v="Mobile"/>
    <n v="17"/>
    <n v="29087"/>
    <x v="3"/>
    <x v="7"/>
  </r>
  <r>
    <d v="2024-01-26T00:00:00"/>
    <x v="5"/>
    <x v="7"/>
    <s v="Computers"/>
    <n v="20"/>
    <n v="30480"/>
    <x v="2"/>
    <x v="3"/>
  </r>
  <r>
    <d v="2023-10-18T00:00:00"/>
    <x v="6"/>
    <x v="3"/>
    <s v="Mobile"/>
    <n v="14"/>
    <n v="3836"/>
    <x v="2"/>
    <x v="1"/>
  </r>
  <r>
    <d v="2025-11-14T00:00:00"/>
    <x v="0"/>
    <x v="5"/>
    <s v="Electronics"/>
    <n v="5"/>
    <n v="3285"/>
    <x v="0"/>
    <x v="4"/>
  </r>
  <r>
    <d v="2023-10-06T00:00:00"/>
    <x v="6"/>
    <x v="1"/>
    <s v="Accessories"/>
    <n v="19"/>
    <n v="28006"/>
    <x v="2"/>
    <x v="0"/>
  </r>
  <r>
    <d v="2024-07-17T00:00:00"/>
    <x v="3"/>
    <x v="3"/>
    <s v="Mobile"/>
    <n v="6"/>
    <n v="8160"/>
    <x v="3"/>
    <x v="7"/>
  </r>
  <r>
    <d v="2023-02-28T00:00:00"/>
    <x v="10"/>
    <x v="5"/>
    <s v="Electronics"/>
    <n v="10"/>
    <n v="690"/>
    <x v="3"/>
    <x v="5"/>
  </r>
  <r>
    <d v="2024-11-23T00:00:00"/>
    <x v="0"/>
    <x v="4"/>
    <s v="Accessories"/>
    <n v="16"/>
    <n v="31824"/>
    <x v="3"/>
    <x v="4"/>
  </r>
  <r>
    <d v="2025-06-18T00:00:00"/>
    <x v="2"/>
    <x v="3"/>
    <s v="Mobile"/>
    <n v="2"/>
    <n v="3872"/>
    <x v="4"/>
    <x v="7"/>
  </r>
  <r>
    <d v="2024-11-24T00:00:00"/>
    <x v="0"/>
    <x v="7"/>
    <s v="Computers"/>
    <n v="16"/>
    <n v="29872"/>
    <x v="0"/>
    <x v="2"/>
  </r>
  <r>
    <d v="2023-10-08T00:00:00"/>
    <x v="6"/>
    <x v="5"/>
    <s v="Electronics"/>
    <n v="12"/>
    <n v="5532"/>
    <x v="4"/>
    <x v="0"/>
  </r>
  <r>
    <d v="2023-03-10T00:00:00"/>
    <x v="11"/>
    <x v="6"/>
    <s v="Accessories"/>
    <n v="5"/>
    <n v="9315"/>
    <x v="3"/>
    <x v="7"/>
  </r>
  <r>
    <d v="2025-04-05T00:00:00"/>
    <x v="7"/>
    <x v="3"/>
    <s v="Mobile"/>
    <n v="8"/>
    <n v="2496"/>
    <x v="4"/>
    <x v="7"/>
  </r>
  <r>
    <d v="2024-11-21T00:00:00"/>
    <x v="0"/>
    <x v="8"/>
    <s v="Mobile"/>
    <n v="7"/>
    <n v="5005"/>
    <x v="1"/>
    <x v="2"/>
  </r>
  <r>
    <d v="2024-09-05T00:00:00"/>
    <x v="4"/>
    <x v="9"/>
    <s v="Wearables"/>
    <n v="12"/>
    <n v="1284"/>
    <x v="0"/>
    <x v="0"/>
  </r>
  <r>
    <d v="2025-05-07T00:00:00"/>
    <x v="1"/>
    <x v="5"/>
    <s v="Electronics"/>
    <n v="9"/>
    <n v="16281"/>
    <x v="3"/>
    <x v="1"/>
  </r>
  <r>
    <d v="2024-03-09T00:00:00"/>
    <x v="11"/>
    <x v="2"/>
    <s v="Computers"/>
    <n v="5"/>
    <n v="6065"/>
    <x v="4"/>
    <x v="2"/>
  </r>
  <r>
    <d v="2023-04-27T00:00:00"/>
    <x v="7"/>
    <x v="6"/>
    <s v="Accessories"/>
    <n v="17"/>
    <n v="13566"/>
    <x v="4"/>
    <x v="7"/>
  </r>
  <r>
    <d v="2025-07-22T00:00:00"/>
    <x v="3"/>
    <x v="5"/>
    <s v="Electronics"/>
    <n v="10"/>
    <n v="15610"/>
    <x v="1"/>
    <x v="2"/>
  </r>
  <r>
    <d v="2024-07-26T00:00:00"/>
    <x v="3"/>
    <x v="2"/>
    <s v="Computers"/>
    <n v="20"/>
    <n v="35340"/>
    <x v="0"/>
    <x v="6"/>
  </r>
  <r>
    <d v="2023-02-19T00:00:00"/>
    <x v="10"/>
    <x v="6"/>
    <s v="Accessories"/>
    <n v="17"/>
    <n v="1275"/>
    <x v="3"/>
    <x v="6"/>
  </r>
  <r>
    <d v="2023-12-29T00:00:00"/>
    <x v="8"/>
    <x v="1"/>
    <s v="Accessories"/>
    <n v="8"/>
    <n v="3608"/>
    <x v="4"/>
    <x v="7"/>
  </r>
  <r>
    <d v="2025-09-07T00:00:00"/>
    <x v="4"/>
    <x v="4"/>
    <s v="Accessories"/>
    <n v="12"/>
    <n v="23004"/>
    <x v="0"/>
    <x v="2"/>
  </r>
  <r>
    <d v="2024-08-21T00:00:00"/>
    <x v="9"/>
    <x v="7"/>
    <s v="Computers"/>
    <n v="5"/>
    <n v="9110"/>
    <x v="4"/>
    <x v="5"/>
  </r>
  <r>
    <d v="2023-12-08T00:00:00"/>
    <x v="8"/>
    <x v="2"/>
    <s v="Computers"/>
    <n v="13"/>
    <n v="2470"/>
    <x v="4"/>
    <x v="6"/>
  </r>
  <r>
    <d v="2023-07-04T00:00:00"/>
    <x v="3"/>
    <x v="6"/>
    <s v="Accessories"/>
    <n v="19"/>
    <n v="9405"/>
    <x v="3"/>
    <x v="4"/>
  </r>
  <r>
    <d v="2024-05-25T00:00:00"/>
    <x v="1"/>
    <x v="4"/>
    <s v="Accessories"/>
    <n v="5"/>
    <n v="7660"/>
    <x v="0"/>
    <x v="6"/>
  </r>
  <r>
    <d v="2023-10-18T00:00:00"/>
    <x v="6"/>
    <x v="0"/>
    <s v="Office"/>
    <n v="15"/>
    <n v="13305"/>
    <x v="1"/>
    <x v="0"/>
  </r>
  <r>
    <d v="2023-09-14T00:00:00"/>
    <x v="4"/>
    <x v="4"/>
    <s v="Accessories"/>
    <n v="7"/>
    <n v="11683"/>
    <x v="4"/>
    <x v="7"/>
  </r>
  <r>
    <d v="2023-10-31T00:00:00"/>
    <x v="6"/>
    <x v="0"/>
    <s v="Office"/>
    <n v="13"/>
    <n v="21762"/>
    <x v="4"/>
    <x v="1"/>
  </r>
  <r>
    <d v="2023-08-28T00:00:00"/>
    <x v="9"/>
    <x v="7"/>
    <s v="Computers"/>
    <n v="13"/>
    <n v="22373"/>
    <x v="1"/>
    <x v="6"/>
  </r>
  <r>
    <d v="2025-12-29T00:00:00"/>
    <x v="8"/>
    <x v="8"/>
    <s v="Mobile"/>
    <n v="15"/>
    <n v="5205"/>
    <x v="2"/>
    <x v="4"/>
  </r>
  <r>
    <d v="2023-11-10T00:00:00"/>
    <x v="0"/>
    <x v="4"/>
    <s v="Accessories"/>
    <n v="12"/>
    <n v="2412"/>
    <x v="1"/>
    <x v="7"/>
  </r>
  <r>
    <d v="2025-03-26T00:00:00"/>
    <x v="11"/>
    <x v="4"/>
    <s v="Accessories"/>
    <n v="1"/>
    <n v="1865"/>
    <x v="4"/>
    <x v="7"/>
  </r>
  <r>
    <d v="2023-08-29T00:00:00"/>
    <x v="9"/>
    <x v="1"/>
    <s v="Accessories"/>
    <n v="20"/>
    <n v="36040"/>
    <x v="3"/>
    <x v="3"/>
  </r>
  <r>
    <d v="2024-08-06T00:00:00"/>
    <x v="9"/>
    <x v="2"/>
    <s v="Computers"/>
    <n v="7"/>
    <n v="1281"/>
    <x v="2"/>
    <x v="7"/>
  </r>
  <r>
    <d v="2023-04-08T00:00:00"/>
    <x v="7"/>
    <x v="2"/>
    <s v="Computers"/>
    <n v="11"/>
    <n v="10593"/>
    <x v="1"/>
    <x v="3"/>
  </r>
  <r>
    <d v="2024-02-23T00:00:00"/>
    <x v="10"/>
    <x v="6"/>
    <s v="Accessories"/>
    <n v="19"/>
    <n v="14079"/>
    <x v="3"/>
    <x v="3"/>
  </r>
  <r>
    <d v="2024-03-09T00:00:00"/>
    <x v="11"/>
    <x v="1"/>
    <s v="Accessories"/>
    <n v="4"/>
    <n v="680"/>
    <x v="4"/>
    <x v="0"/>
  </r>
  <r>
    <d v="2025-11-02T00:00:00"/>
    <x v="0"/>
    <x v="6"/>
    <s v="Accessories"/>
    <n v="17"/>
    <n v="17612"/>
    <x v="0"/>
    <x v="5"/>
  </r>
  <r>
    <d v="2024-08-25T00:00:00"/>
    <x v="9"/>
    <x v="6"/>
    <s v="Accessories"/>
    <n v="6"/>
    <n v="1410"/>
    <x v="1"/>
    <x v="3"/>
  </r>
  <r>
    <d v="2025-07-08T00:00:00"/>
    <x v="3"/>
    <x v="9"/>
    <s v="Wearables"/>
    <n v="8"/>
    <n v="5600"/>
    <x v="1"/>
    <x v="5"/>
  </r>
  <r>
    <d v="2025-07-12T00:00:00"/>
    <x v="3"/>
    <x v="9"/>
    <s v="Wearables"/>
    <n v="9"/>
    <n v="13671"/>
    <x v="3"/>
    <x v="6"/>
  </r>
  <r>
    <d v="2025-01-22T00:00:00"/>
    <x v="5"/>
    <x v="3"/>
    <s v="Mobile"/>
    <n v="20"/>
    <n v="19220"/>
    <x v="1"/>
    <x v="5"/>
  </r>
  <r>
    <d v="2025-10-08T00:00:00"/>
    <x v="6"/>
    <x v="4"/>
    <s v="Accessories"/>
    <n v="1"/>
    <n v="1220"/>
    <x v="1"/>
    <x v="4"/>
  </r>
  <r>
    <d v="2025-08-09T00:00:00"/>
    <x v="9"/>
    <x v="9"/>
    <s v="Wearables"/>
    <n v="2"/>
    <n v="2490"/>
    <x v="4"/>
    <x v="4"/>
  </r>
  <r>
    <d v="2023-10-11T00:00:00"/>
    <x v="6"/>
    <x v="4"/>
    <s v="Accessories"/>
    <n v="15"/>
    <n v="28035"/>
    <x v="2"/>
    <x v="0"/>
  </r>
  <r>
    <d v="2023-04-17T00:00:00"/>
    <x v="7"/>
    <x v="2"/>
    <s v="Computers"/>
    <n v="7"/>
    <n v="5054"/>
    <x v="1"/>
    <x v="1"/>
  </r>
  <r>
    <d v="2023-11-27T00:00:00"/>
    <x v="0"/>
    <x v="9"/>
    <s v="Wearables"/>
    <n v="19"/>
    <n v="36328"/>
    <x v="3"/>
    <x v="5"/>
  </r>
  <r>
    <d v="2023-12-11T00:00:00"/>
    <x v="8"/>
    <x v="8"/>
    <s v="Mobile"/>
    <n v="6"/>
    <n v="9906"/>
    <x v="1"/>
    <x v="1"/>
  </r>
  <r>
    <d v="2023-03-06T00:00:00"/>
    <x v="11"/>
    <x v="5"/>
    <s v="Electronics"/>
    <n v="6"/>
    <n v="3444"/>
    <x v="2"/>
    <x v="1"/>
  </r>
  <r>
    <d v="2024-07-25T00:00:00"/>
    <x v="3"/>
    <x v="1"/>
    <s v="Accessories"/>
    <n v="6"/>
    <n v="8634"/>
    <x v="0"/>
    <x v="2"/>
  </r>
  <r>
    <d v="2023-03-03T00:00:00"/>
    <x v="11"/>
    <x v="7"/>
    <s v="Computers"/>
    <n v="18"/>
    <n v="26730"/>
    <x v="0"/>
    <x v="6"/>
  </r>
  <r>
    <d v="2025-04-25T00:00:00"/>
    <x v="7"/>
    <x v="8"/>
    <s v="Mobile"/>
    <n v="17"/>
    <n v="6902"/>
    <x v="2"/>
    <x v="0"/>
  </r>
  <r>
    <d v="2025-04-30T00:00:00"/>
    <x v="7"/>
    <x v="2"/>
    <s v="Computers"/>
    <n v="18"/>
    <n v="4914"/>
    <x v="2"/>
    <x v="2"/>
  </r>
  <r>
    <d v="2025-02-09T00:00:00"/>
    <x v="10"/>
    <x v="5"/>
    <s v="Electronics"/>
    <n v="19"/>
    <n v="12749"/>
    <x v="4"/>
    <x v="5"/>
  </r>
  <r>
    <d v="2024-11-14T00:00:00"/>
    <x v="0"/>
    <x v="1"/>
    <s v="Accessories"/>
    <n v="12"/>
    <n v="15684"/>
    <x v="3"/>
    <x v="7"/>
  </r>
  <r>
    <d v="2025-12-02T00:00:00"/>
    <x v="8"/>
    <x v="0"/>
    <s v="Office"/>
    <n v="6"/>
    <n v="4158"/>
    <x v="3"/>
    <x v="1"/>
  </r>
  <r>
    <d v="2023-09-27T00:00:00"/>
    <x v="4"/>
    <x v="0"/>
    <s v="Office"/>
    <n v="13"/>
    <n v="17719"/>
    <x v="0"/>
    <x v="7"/>
  </r>
  <r>
    <d v="2024-03-24T00:00:00"/>
    <x v="11"/>
    <x v="5"/>
    <s v="Electronics"/>
    <n v="4"/>
    <n v="4388"/>
    <x v="1"/>
    <x v="7"/>
  </r>
  <r>
    <d v="2025-01-27T00:00:00"/>
    <x v="5"/>
    <x v="3"/>
    <s v="Mobile"/>
    <n v="13"/>
    <n v="1183"/>
    <x v="0"/>
    <x v="3"/>
  </r>
  <r>
    <d v="2025-12-22T00:00:00"/>
    <x v="8"/>
    <x v="4"/>
    <s v="Accessories"/>
    <n v="12"/>
    <n v="22344"/>
    <x v="4"/>
    <x v="7"/>
  </r>
  <r>
    <d v="2024-11-24T00:00:00"/>
    <x v="0"/>
    <x v="1"/>
    <s v="Accessories"/>
    <n v="6"/>
    <n v="3144"/>
    <x v="3"/>
    <x v="6"/>
  </r>
  <r>
    <d v="2023-12-26T00:00:00"/>
    <x v="8"/>
    <x v="0"/>
    <s v="Office"/>
    <n v="10"/>
    <n v="9950"/>
    <x v="0"/>
    <x v="1"/>
  </r>
  <r>
    <d v="2024-10-20T00:00:00"/>
    <x v="6"/>
    <x v="8"/>
    <s v="Mobile"/>
    <n v="3"/>
    <n v="1191"/>
    <x v="1"/>
    <x v="3"/>
  </r>
  <r>
    <d v="2024-04-07T00:00:00"/>
    <x v="7"/>
    <x v="4"/>
    <s v="Accessories"/>
    <n v="7"/>
    <n v="2849"/>
    <x v="4"/>
    <x v="4"/>
  </r>
  <r>
    <d v="2023-04-29T00:00:00"/>
    <x v="7"/>
    <x v="9"/>
    <s v="Wearables"/>
    <n v="19"/>
    <n v="29279"/>
    <x v="3"/>
    <x v="0"/>
  </r>
  <r>
    <d v="2025-12-19T00:00:00"/>
    <x v="8"/>
    <x v="0"/>
    <s v="Office"/>
    <n v="17"/>
    <n v="5576"/>
    <x v="0"/>
    <x v="3"/>
  </r>
  <r>
    <d v="2023-11-06T00:00:00"/>
    <x v="0"/>
    <x v="3"/>
    <s v="Mobile"/>
    <n v="10"/>
    <n v="12160"/>
    <x v="1"/>
    <x v="3"/>
  </r>
  <r>
    <d v="2025-07-11T00:00:00"/>
    <x v="3"/>
    <x v="2"/>
    <s v="Computers"/>
    <n v="4"/>
    <n v="7276"/>
    <x v="4"/>
    <x v="5"/>
  </r>
  <r>
    <d v="2024-08-16T00:00:00"/>
    <x v="9"/>
    <x v="3"/>
    <s v="Mobile"/>
    <n v="10"/>
    <n v="16200"/>
    <x v="2"/>
    <x v="1"/>
  </r>
  <r>
    <d v="2025-02-26T00:00:00"/>
    <x v="10"/>
    <x v="0"/>
    <s v="Office"/>
    <n v="5"/>
    <n v="1545"/>
    <x v="4"/>
    <x v="1"/>
  </r>
  <r>
    <d v="2025-01-19T00:00:00"/>
    <x v="5"/>
    <x v="5"/>
    <s v="Electronics"/>
    <n v="19"/>
    <n v="16264"/>
    <x v="1"/>
    <x v="4"/>
  </r>
  <r>
    <d v="2024-07-23T00:00:00"/>
    <x v="3"/>
    <x v="7"/>
    <s v="Computers"/>
    <n v="12"/>
    <n v="21336"/>
    <x v="2"/>
    <x v="0"/>
  </r>
  <r>
    <d v="2024-01-24T00:00:00"/>
    <x v="5"/>
    <x v="1"/>
    <s v="Accessories"/>
    <n v="4"/>
    <n v="4636"/>
    <x v="4"/>
    <x v="0"/>
  </r>
  <r>
    <d v="2025-07-29T00:00:00"/>
    <x v="3"/>
    <x v="2"/>
    <s v="Computers"/>
    <n v="10"/>
    <n v="3700"/>
    <x v="4"/>
    <x v="2"/>
  </r>
  <r>
    <d v="2023-06-14T00:00:00"/>
    <x v="2"/>
    <x v="4"/>
    <s v="Accessories"/>
    <n v="19"/>
    <n v="24586"/>
    <x v="0"/>
    <x v="3"/>
  </r>
  <r>
    <d v="2024-08-07T00:00:00"/>
    <x v="9"/>
    <x v="8"/>
    <s v="Mobile"/>
    <n v="16"/>
    <n v="15024"/>
    <x v="1"/>
    <x v="3"/>
  </r>
  <r>
    <d v="2024-05-21T00:00:00"/>
    <x v="1"/>
    <x v="0"/>
    <s v="Office"/>
    <n v="15"/>
    <n v="28680"/>
    <x v="3"/>
    <x v="2"/>
  </r>
  <r>
    <d v="2024-01-17T00:00:00"/>
    <x v="5"/>
    <x v="2"/>
    <s v="Computers"/>
    <n v="5"/>
    <n v="915"/>
    <x v="4"/>
    <x v="7"/>
  </r>
  <r>
    <d v="2025-05-30T00:00:00"/>
    <x v="1"/>
    <x v="3"/>
    <s v="Mobile"/>
    <n v="13"/>
    <n v="1716"/>
    <x v="1"/>
    <x v="0"/>
  </r>
  <r>
    <d v="2023-02-27T00:00:00"/>
    <x v="10"/>
    <x v="5"/>
    <s v="Electronics"/>
    <n v="4"/>
    <n v="6020"/>
    <x v="2"/>
    <x v="3"/>
  </r>
  <r>
    <d v="2024-12-19T00:00:00"/>
    <x v="8"/>
    <x v="2"/>
    <s v="Computers"/>
    <n v="19"/>
    <n v="23028"/>
    <x v="3"/>
    <x v="3"/>
  </r>
  <r>
    <d v="2024-10-15T00:00:00"/>
    <x v="6"/>
    <x v="2"/>
    <s v="Computers"/>
    <n v="15"/>
    <n v="17925"/>
    <x v="2"/>
    <x v="6"/>
  </r>
  <r>
    <d v="2023-12-24T00:00:00"/>
    <x v="8"/>
    <x v="5"/>
    <s v="Electronics"/>
    <n v="5"/>
    <n v="6660"/>
    <x v="3"/>
    <x v="0"/>
  </r>
  <r>
    <d v="2024-08-11T00:00:00"/>
    <x v="9"/>
    <x v="8"/>
    <s v="Mobile"/>
    <n v="14"/>
    <n v="18158"/>
    <x v="3"/>
    <x v="6"/>
  </r>
  <r>
    <d v="2024-06-20T00:00:00"/>
    <x v="2"/>
    <x v="8"/>
    <s v="Mobile"/>
    <n v="1"/>
    <n v="1528"/>
    <x v="2"/>
    <x v="7"/>
  </r>
  <r>
    <d v="2024-09-24T00:00:00"/>
    <x v="4"/>
    <x v="4"/>
    <s v="Accessories"/>
    <n v="7"/>
    <n v="1694"/>
    <x v="1"/>
    <x v="2"/>
  </r>
  <r>
    <d v="2025-11-06T00:00:00"/>
    <x v="0"/>
    <x v="5"/>
    <s v="Electronics"/>
    <n v="6"/>
    <n v="6582"/>
    <x v="3"/>
    <x v="6"/>
  </r>
  <r>
    <d v="2024-11-25T00:00:00"/>
    <x v="0"/>
    <x v="3"/>
    <s v="Mobile"/>
    <n v="19"/>
    <n v="24472"/>
    <x v="4"/>
    <x v="4"/>
  </r>
  <r>
    <d v="2025-09-28T00:00:00"/>
    <x v="4"/>
    <x v="0"/>
    <s v="Office"/>
    <n v="14"/>
    <n v="19152"/>
    <x v="4"/>
    <x v="2"/>
  </r>
  <r>
    <d v="2024-01-27T00:00:00"/>
    <x v="5"/>
    <x v="6"/>
    <s v="Accessories"/>
    <n v="5"/>
    <n v="480"/>
    <x v="4"/>
    <x v="5"/>
  </r>
  <r>
    <d v="2024-11-05T00:00:00"/>
    <x v="0"/>
    <x v="4"/>
    <s v="Accessories"/>
    <n v="7"/>
    <n v="5383"/>
    <x v="0"/>
    <x v="4"/>
  </r>
  <r>
    <d v="2025-12-11T00:00:00"/>
    <x v="8"/>
    <x v="8"/>
    <s v="Mobile"/>
    <n v="13"/>
    <n v="8619"/>
    <x v="1"/>
    <x v="5"/>
  </r>
  <r>
    <d v="2024-10-06T00:00:00"/>
    <x v="6"/>
    <x v="8"/>
    <s v="Mobile"/>
    <n v="2"/>
    <n v="970"/>
    <x v="2"/>
    <x v="1"/>
  </r>
  <r>
    <d v="2025-05-19T00:00:00"/>
    <x v="1"/>
    <x v="5"/>
    <s v="Electronics"/>
    <n v="15"/>
    <n v="25620"/>
    <x v="2"/>
    <x v="5"/>
  </r>
  <r>
    <d v="2023-05-01T00:00:00"/>
    <x v="1"/>
    <x v="9"/>
    <s v="Wearables"/>
    <n v="15"/>
    <n v="7770"/>
    <x v="4"/>
    <x v="5"/>
  </r>
  <r>
    <d v="2024-12-07T00:00:00"/>
    <x v="8"/>
    <x v="9"/>
    <s v="Wearables"/>
    <n v="2"/>
    <n v="2838"/>
    <x v="2"/>
    <x v="1"/>
  </r>
  <r>
    <d v="2023-02-24T00:00:00"/>
    <x v="10"/>
    <x v="9"/>
    <s v="Wearables"/>
    <n v="6"/>
    <n v="4842"/>
    <x v="1"/>
    <x v="6"/>
  </r>
  <r>
    <d v="2025-09-20T00:00:00"/>
    <x v="4"/>
    <x v="2"/>
    <s v="Computers"/>
    <n v="19"/>
    <n v="28614"/>
    <x v="4"/>
    <x v="3"/>
  </r>
  <r>
    <d v="2024-06-10T00:00:00"/>
    <x v="2"/>
    <x v="3"/>
    <s v="Mobile"/>
    <n v="4"/>
    <n v="2492"/>
    <x v="3"/>
    <x v="6"/>
  </r>
  <r>
    <d v="2025-12-01T00:00:00"/>
    <x v="8"/>
    <x v="8"/>
    <s v="Mobile"/>
    <n v="16"/>
    <n v="25104"/>
    <x v="2"/>
    <x v="1"/>
  </r>
  <r>
    <d v="2025-09-28T00:00:00"/>
    <x v="4"/>
    <x v="4"/>
    <s v="Accessories"/>
    <n v="4"/>
    <n v="6432"/>
    <x v="0"/>
    <x v="3"/>
  </r>
  <r>
    <d v="2023-06-06T00:00:00"/>
    <x v="2"/>
    <x v="7"/>
    <s v="Computers"/>
    <n v="2"/>
    <n v="3514"/>
    <x v="0"/>
    <x v="3"/>
  </r>
  <r>
    <d v="2025-01-03T00:00:00"/>
    <x v="5"/>
    <x v="2"/>
    <s v="Computers"/>
    <n v="19"/>
    <n v="8626"/>
    <x v="0"/>
    <x v="6"/>
  </r>
  <r>
    <d v="2023-11-13T00:00:00"/>
    <x v="0"/>
    <x v="2"/>
    <s v="Computers"/>
    <n v="19"/>
    <n v="32965"/>
    <x v="3"/>
    <x v="7"/>
  </r>
  <r>
    <d v="2023-05-03T00:00:00"/>
    <x v="1"/>
    <x v="1"/>
    <s v="Accessories"/>
    <n v="15"/>
    <n v="6750"/>
    <x v="0"/>
    <x v="2"/>
  </r>
  <r>
    <d v="2025-03-11T00:00:00"/>
    <x v="11"/>
    <x v="5"/>
    <s v="Electronics"/>
    <n v="17"/>
    <n v="32844"/>
    <x v="2"/>
    <x v="1"/>
  </r>
  <r>
    <d v="2025-05-19T00:00:00"/>
    <x v="1"/>
    <x v="0"/>
    <s v="Office"/>
    <n v="4"/>
    <n v="6168"/>
    <x v="4"/>
    <x v="4"/>
  </r>
  <r>
    <d v="2024-04-30T00:00:00"/>
    <x v="7"/>
    <x v="0"/>
    <s v="Office"/>
    <n v="20"/>
    <n v="6720"/>
    <x v="3"/>
    <x v="6"/>
  </r>
  <r>
    <d v="2023-07-31T00:00:00"/>
    <x v="3"/>
    <x v="1"/>
    <s v="Accessories"/>
    <n v="16"/>
    <n v="12400"/>
    <x v="1"/>
    <x v="5"/>
  </r>
  <r>
    <d v="2023-01-12T00:00:00"/>
    <x v="5"/>
    <x v="3"/>
    <s v="Mobile"/>
    <n v="13"/>
    <n v="10686"/>
    <x v="4"/>
    <x v="5"/>
  </r>
  <r>
    <d v="2025-11-30T00:00:00"/>
    <x v="0"/>
    <x v="6"/>
    <s v="Accessories"/>
    <n v="13"/>
    <n v="25948"/>
    <x v="4"/>
    <x v="3"/>
  </r>
  <r>
    <d v="2024-08-23T00:00:00"/>
    <x v="9"/>
    <x v="0"/>
    <s v="Office"/>
    <n v="18"/>
    <n v="12240"/>
    <x v="2"/>
    <x v="6"/>
  </r>
  <r>
    <d v="2024-02-25T00:00:00"/>
    <x v="10"/>
    <x v="6"/>
    <s v="Accessories"/>
    <n v="19"/>
    <n v="12065"/>
    <x v="0"/>
    <x v="4"/>
  </r>
  <r>
    <d v="2023-05-16T00:00:00"/>
    <x v="1"/>
    <x v="8"/>
    <s v="Mobile"/>
    <n v="12"/>
    <n v="3324"/>
    <x v="2"/>
    <x v="4"/>
  </r>
  <r>
    <d v="2023-09-22T00:00:00"/>
    <x v="4"/>
    <x v="4"/>
    <s v="Accessories"/>
    <n v="6"/>
    <n v="5994"/>
    <x v="0"/>
    <x v="6"/>
  </r>
  <r>
    <d v="2025-02-10T00:00:00"/>
    <x v="10"/>
    <x v="5"/>
    <s v="Electronics"/>
    <n v="8"/>
    <n v="4448"/>
    <x v="2"/>
    <x v="4"/>
  </r>
  <r>
    <d v="2024-03-16T00:00:00"/>
    <x v="11"/>
    <x v="1"/>
    <s v="Accessories"/>
    <n v="12"/>
    <n v="19836"/>
    <x v="3"/>
    <x v="5"/>
  </r>
  <r>
    <d v="2025-08-19T00:00:00"/>
    <x v="9"/>
    <x v="5"/>
    <s v="Electronics"/>
    <n v="2"/>
    <n v="1160"/>
    <x v="1"/>
    <x v="7"/>
  </r>
  <r>
    <d v="2023-08-07T00:00:00"/>
    <x v="9"/>
    <x v="1"/>
    <s v="Accessories"/>
    <n v="6"/>
    <n v="2316"/>
    <x v="3"/>
    <x v="4"/>
  </r>
  <r>
    <d v="2025-09-27T00:00:00"/>
    <x v="4"/>
    <x v="9"/>
    <s v="Wearables"/>
    <n v="7"/>
    <n v="9415"/>
    <x v="2"/>
    <x v="4"/>
  </r>
  <r>
    <d v="2025-06-20T00:00:00"/>
    <x v="2"/>
    <x v="2"/>
    <s v="Computers"/>
    <n v="1"/>
    <n v="910"/>
    <x v="0"/>
    <x v="2"/>
  </r>
  <r>
    <d v="2025-09-19T00:00:00"/>
    <x v="4"/>
    <x v="4"/>
    <s v="Accessories"/>
    <n v="19"/>
    <n v="11419"/>
    <x v="2"/>
    <x v="5"/>
  </r>
  <r>
    <d v="2024-07-09T00:00:00"/>
    <x v="3"/>
    <x v="5"/>
    <s v="Electronics"/>
    <n v="12"/>
    <n v="7668"/>
    <x v="1"/>
    <x v="3"/>
  </r>
  <r>
    <d v="2023-06-23T00:00:00"/>
    <x v="2"/>
    <x v="6"/>
    <s v="Accessories"/>
    <n v="18"/>
    <n v="19692"/>
    <x v="4"/>
    <x v="2"/>
  </r>
  <r>
    <d v="2023-10-03T00:00:00"/>
    <x v="6"/>
    <x v="1"/>
    <s v="Accessories"/>
    <n v="5"/>
    <n v="4790"/>
    <x v="2"/>
    <x v="6"/>
  </r>
  <r>
    <d v="2025-04-05T00:00:00"/>
    <x v="7"/>
    <x v="6"/>
    <s v="Accessories"/>
    <n v="5"/>
    <n v="385"/>
    <x v="2"/>
    <x v="2"/>
  </r>
  <r>
    <d v="2024-09-05T00:00:00"/>
    <x v="4"/>
    <x v="9"/>
    <s v="Wearables"/>
    <n v="14"/>
    <n v="13832"/>
    <x v="1"/>
    <x v="5"/>
  </r>
  <r>
    <d v="2023-02-14T00:00:00"/>
    <x v="10"/>
    <x v="5"/>
    <s v="Electronics"/>
    <n v="6"/>
    <n v="9516"/>
    <x v="3"/>
    <x v="5"/>
  </r>
  <r>
    <d v="2023-08-18T00:00:00"/>
    <x v="9"/>
    <x v="7"/>
    <s v="Computers"/>
    <n v="18"/>
    <n v="3438"/>
    <x v="0"/>
    <x v="6"/>
  </r>
  <r>
    <d v="2024-08-23T00:00:00"/>
    <x v="9"/>
    <x v="4"/>
    <s v="Accessories"/>
    <n v="6"/>
    <n v="10884"/>
    <x v="3"/>
    <x v="4"/>
  </r>
  <r>
    <d v="2025-03-29T00:00:00"/>
    <x v="11"/>
    <x v="9"/>
    <s v="Wearables"/>
    <n v="18"/>
    <n v="29484"/>
    <x v="3"/>
    <x v="6"/>
  </r>
  <r>
    <d v="2025-12-17T00:00:00"/>
    <x v="8"/>
    <x v="2"/>
    <s v="Computers"/>
    <n v="5"/>
    <n v="2430"/>
    <x v="2"/>
    <x v="2"/>
  </r>
  <r>
    <d v="2023-05-12T00:00:00"/>
    <x v="1"/>
    <x v="0"/>
    <s v="Office"/>
    <n v="20"/>
    <n v="14220"/>
    <x v="3"/>
    <x v="6"/>
  </r>
  <r>
    <d v="2023-10-02T00:00:00"/>
    <x v="6"/>
    <x v="0"/>
    <s v="Office"/>
    <n v="8"/>
    <n v="3520"/>
    <x v="3"/>
    <x v="6"/>
  </r>
  <r>
    <d v="2023-12-24T00:00:00"/>
    <x v="8"/>
    <x v="4"/>
    <s v="Accessories"/>
    <n v="1"/>
    <n v="1676"/>
    <x v="0"/>
    <x v="1"/>
  </r>
  <r>
    <d v="2023-11-10T00:00:00"/>
    <x v="0"/>
    <x v="1"/>
    <s v="Accessories"/>
    <n v="13"/>
    <n v="3952"/>
    <x v="0"/>
    <x v="2"/>
  </r>
  <r>
    <d v="2024-10-07T00:00:00"/>
    <x v="6"/>
    <x v="4"/>
    <s v="Accessories"/>
    <n v="8"/>
    <n v="11464"/>
    <x v="2"/>
    <x v="2"/>
  </r>
  <r>
    <d v="2024-04-10T00:00:00"/>
    <x v="7"/>
    <x v="5"/>
    <s v="Electronics"/>
    <n v="8"/>
    <n v="15344"/>
    <x v="1"/>
    <x v="6"/>
  </r>
  <r>
    <d v="2023-08-10T00:00:00"/>
    <x v="9"/>
    <x v="8"/>
    <s v="Mobile"/>
    <n v="3"/>
    <n v="3477"/>
    <x v="0"/>
    <x v="5"/>
  </r>
  <r>
    <d v="2024-07-17T00:00:00"/>
    <x v="3"/>
    <x v="8"/>
    <s v="Mobile"/>
    <n v="11"/>
    <n v="13750"/>
    <x v="2"/>
    <x v="7"/>
  </r>
  <r>
    <d v="2025-02-01T00:00:00"/>
    <x v="10"/>
    <x v="0"/>
    <s v="Office"/>
    <n v="17"/>
    <n v="3570"/>
    <x v="2"/>
    <x v="6"/>
  </r>
  <r>
    <d v="2023-12-14T00:00:00"/>
    <x v="8"/>
    <x v="2"/>
    <s v="Computers"/>
    <n v="7"/>
    <n v="2331"/>
    <x v="1"/>
    <x v="2"/>
  </r>
  <r>
    <d v="2023-08-20T00:00:00"/>
    <x v="9"/>
    <x v="6"/>
    <s v="Accessories"/>
    <n v="1"/>
    <n v="1574"/>
    <x v="0"/>
    <x v="4"/>
  </r>
  <r>
    <d v="2023-12-19T00:00:00"/>
    <x v="8"/>
    <x v="5"/>
    <s v="Electronics"/>
    <n v="9"/>
    <n v="8613"/>
    <x v="4"/>
    <x v="3"/>
  </r>
  <r>
    <d v="2025-06-17T00:00:00"/>
    <x v="2"/>
    <x v="2"/>
    <s v="Computers"/>
    <n v="19"/>
    <n v="14649"/>
    <x v="2"/>
    <x v="4"/>
  </r>
  <r>
    <d v="2023-05-06T00:00:00"/>
    <x v="1"/>
    <x v="8"/>
    <s v="Mobile"/>
    <n v="11"/>
    <n v="21010"/>
    <x v="1"/>
    <x v="1"/>
  </r>
  <r>
    <d v="2024-11-07T00:00:00"/>
    <x v="0"/>
    <x v="5"/>
    <s v="Electronics"/>
    <n v="4"/>
    <n v="7784"/>
    <x v="2"/>
    <x v="4"/>
  </r>
  <r>
    <d v="2025-04-29T00:00:00"/>
    <x v="7"/>
    <x v="4"/>
    <s v="Accessories"/>
    <n v="19"/>
    <n v="33972"/>
    <x v="1"/>
    <x v="0"/>
  </r>
  <r>
    <d v="2023-09-23T00:00:00"/>
    <x v="4"/>
    <x v="5"/>
    <s v="Electronics"/>
    <n v="13"/>
    <n v="21671"/>
    <x v="0"/>
    <x v="7"/>
  </r>
  <r>
    <d v="2024-01-05T00:00:00"/>
    <x v="5"/>
    <x v="9"/>
    <s v="Wearables"/>
    <n v="13"/>
    <n v="5746"/>
    <x v="3"/>
    <x v="6"/>
  </r>
  <r>
    <d v="2024-05-29T00:00:00"/>
    <x v="1"/>
    <x v="2"/>
    <s v="Computers"/>
    <n v="16"/>
    <n v="8640"/>
    <x v="3"/>
    <x v="5"/>
  </r>
  <r>
    <d v="2024-04-21T00:00:00"/>
    <x v="7"/>
    <x v="8"/>
    <s v="Mobile"/>
    <n v="3"/>
    <n v="960"/>
    <x v="3"/>
    <x v="6"/>
  </r>
  <r>
    <d v="2025-10-05T00:00:00"/>
    <x v="6"/>
    <x v="5"/>
    <s v="Electronics"/>
    <n v="11"/>
    <n v="16181"/>
    <x v="3"/>
    <x v="7"/>
  </r>
  <r>
    <d v="2023-12-06T00:00:00"/>
    <x v="8"/>
    <x v="4"/>
    <s v="Accessories"/>
    <n v="18"/>
    <n v="9360"/>
    <x v="0"/>
    <x v="6"/>
  </r>
  <r>
    <d v="2025-03-27T00:00:00"/>
    <x v="11"/>
    <x v="2"/>
    <s v="Computers"/>
    <n v="4"/>
    <n v="4700"/>
    <x v="0"/>
    <x v="7"/>
  </r>
  <r>
    <d v="2023-07-19T00:00:00"/>
    <x v="3"/>
    <x v="1"/>
    <s v="Accessories"/>
    <n v="17"/>
    <n v="27217"/>
    <x v="1"/>
    <x v="2"/>
  </r>
  <r>
    <d v="2024-08-05T00:00:00"/>
    <x v="9"/>
    <x v="3"/>
    <s v="Mobile"/>
    <n v="8"/>
    <n v="11808"/>
    <x v="2"/>
    <x v="7"/>
  </r>
  <r>
    <d v="2025-11-22T00:00:00"/>
    <x v="0"/>
    <x v="5"/>
    <s v="Electronics"/>
    <n v="13"/>
    <n v="8710"/>
    <x v="4"/>
    <x v="4"/>
  </r>
  <r>
    <d v="2025-07-30T00:00:00"/>
    <x v="3"/>
    <x v="5"/>
    <s v="Electronics"/>
    <n v="8"/>
    <n v="15880"/>
    <x v="4"/>
    <x v="7"/>
  </r>
  <r>
    <d v="2025-01-14T00:00:00"/>
    <x v="5"/>
    <x v="5"/>
    <s v="Electronics"/>
    <n v="4"/>
    <n v="2516"/>
    <x v="3"/>
    <x v="4"/>
  </r>
  <r>
    <d v="2025-01-11T00:00:00"/>
    <x v="5"/>
    <x v="6"/>
    <s v="Accessories"/>
    <n v="4"/>
    <n v="7852"/>
    <x v="0"/>
    <x v="7"/>
  </r>
  <r>
    <d v="2024-05-03T00:00:00"/>
    <x v="1"/>
    <x v="9"/>
    <s v="Wearables"/>
    <n v="11"/>
    <n v="21648"/>
    <x v="0"/>
    <x v="7"/>
  </r>
  <r>
    <d v="2025-10-20T00:00:00"/>
    <x v="6"/>
    <x v="4"/>
    <s v="Accessories"/>
    <n v="14"/>
    <n v="24178"/>
    <x v="0"/>
    <x v="7"/>
  </r>
  <r>
    <d v="2025-06-07T00:00:00"/>
    <x v="2"/>
    <x v="8"/>
    <s v="Mobile"/>
    <n v="11"/>
    <n v="13112"/>
    <x v="1"/>
    <x v="2"/>
  </r>
  <r>
    <d v="2025-12-21T00:00:00"/>
    <x v="8"/>
    <x v="8"/>
    <s v="Mobile"/>
    <n v="17"/>
    <n v="10217"/>
    <x v="4"/>
    <x v="6"/>
  </r>
  <r>
    <d v="2023-12-28T00:00:00"/>
    <x v="8"/>
    <x v="9"/>
    <s v="Wearables"/>
    <n v="15"/>
    <n v="22725"/>
    <x v="4"/>
    <x v="0"/>
  </r>
  <r>
    <d v="2023-02-24T00:00:00"/>
    <x v="10"/>
    <x v="1"/>
    <s v="Accessories"/>
    <n v="7"/>
    <n v="11921"/>
    <x v="2"/>
    <x v="0"/>
  </r>
  <r>
    <d v="2024-03-15T00:00:00"/>
    <x v="11"/>
    <x v="6"/>
    <s v="Accessories"/>
    <n v="16"/>
    <n v="1488"/>
    <x v="3"/>
    <x v="0"/>
  </r>
  <r>
    <d v="2023-11-25T00:00:00"/>
    <x v="0"/>
    <x v="1"/>
    <s v="Accessories"/>
    <n v="13"/>
    <n v="17329"/>
    <x v="0"/>
    <x v="4"/>
  </r>
  <r>
    <d v="2025-11-09T00:00:00"/>
    <x v="0"/>
    <x v="2"/>
    <s v="Computers"/>
    <n v="17"/>
    <n v="12869"/>
    <x v="1"/>
    <x v="2"/>
  </r>
  <r>
    <d v="2024-07-27T00:00:00"/>
    <x v="3"/>
    <x v="4"/>
    <s v="Accessories"/>
    <n v="6"/>
    <n v="2760"/>
    <x v="0"/>
    <x v="6"/>
  </r>
  <r>
    <d v="2024-07-28T00:00:00"/>
    <x v="3"/>
    <x v="8"/>
    <s v="Mobile"/>
    <n v="9"/>
    <n v="12969"/>
    <x v="0"/>
    <x v="3"/>
  </r>
  <r>
    <d v="2024-09-15T00:00:00"/>
    <x v="4"/>
    <x v="9"/>
    <s v="Wearables"/>
    <n v="5"/>
    <n v="3480"/>
    <x v="2"/>
    <x v="0"/>
  </r>
  <r>
    <d v="2023-10-02T00:00:00"/>
    <x v="6"/>
    <x v="8"/>
    <s v="Mobile"/>
    <n v="16"/>
    <n v="5600"/>
    <x v="2"/>
    <x v="6"/>
  </r>
  <r>
    <d v="2023-03-09T00:00:00"/>
    <x v="11"/>
    <x v="6"/>
    <s v="Accessories"/>
    <n v="9"/>
    <n v="2304"/>
    <x v="0"/>
    <x v="7"/>
  </r>
  <r>
    <d v="2025-09-08T00:00:00"/>
    <x v="4"/>
    <x v="6"/>
    <s v="Accessories"/>
    <n v="19"/>
    <n v="27037"/>
    <x v="3"/>
    <x v="4"/>
  </r>
  <r>
    <d v="2025-08-21T00:00:00"/>
    <x v="9"/>
    <x v="8"/>
    <s v="Mobile"/>
    <n v="4"/>
    <n v="5732"/>
    <x v="4"/>
    <x v="4"/>
  </r>
  <r>
    <d v="2023-06-03T00:00:00"/>
    <x v="2"/>
    <x v="4"/>
    <s v="Accessories"/>
    <n v="17"/>
    <n v="14671"/>
    <x v="2"/>
    <x v="3"/>
  </r>
  <r>
    <d v="2025-08-17T00:00:00"/>
    <x v="9"/>
    <x v="0"/>
    <s v="Office"/>
    <n v="13"/>
    <n v="13325"/>
    <x v="1"/>
    <x v="7"/>
  </r>
  <r>
    <d v="2023-01-05T00:00:00"/>
    <x v="5"/>
    <x v="1"/>
    <s v="Accessories"/>
    <n v="19"/>
    <n v="4370"/>
    <x v="4"/>
    <x v="3"/>
  </r>
  <r>
    <d v="2025-10-01T00:00:00"/>
    <x v="6"/>
    <x v="9"/>
    <s v="Wearables"/>
    <n v="18"/>
    <n v="19890"/>
    <x v="2"/>
    <x v="6"/>
  </r>
  <r>
    <d v="2023-09-22T00:00:00"/>
    <x v="4"/>
    <x v="6"/>
    <s v="Accessories"/>
    <n v="7"/>
    <n v="6888"/>
    <x v="4"/>
    <x v="1"/>
  </r>
  <r>
    <d v="2025-09-23T00:00:00"/>
    <x v="4"/>
    <x v="5"/>
    <s v="Electronics"/>
    <n v="11"/>
    <n v="4323"/>
    <x v="0"/>
    <x v="1"/>
  </r>
  <r>
    <d v="2024-03-08T00:00:00"/>
    <x v="11"/>
    <x v="4"/>
    <s v="Accessories"/>
    <n v="8"/>
    <n v="13936"/>
    <x v="4"/>
    <x v="3"/>
  </r>
  <r>
    <d v="2023-06-17T00:00:00"/>
    <x v="2"/>
    <x v="3"/>
    <s v="Mobile"/>
    <n v="12"/>
    <n v="14100"/>
    <x v="3"/>
    <x v="4"/>
  </r>
  <r>
    <d v="2023-12-08T00:00:00"/>
    <x v="8"/>
    <x v="5"/>
    <s v="Electronics"/>
    <n v="3"/>
    <n v="2976"/>
    <x v="1"/>
    <x v="6"/>
  </r>
  <r>
    <d v="2023-03-09T00:00:00"/>
    <x v="11"/>
    <x v="0"/>
    <s v="Office"/>
    <n v="2"/>
    <n v="3242"/>
    <x v="4"/>
    <x v="4"/>
  </r>
  <r>
    <d v="2023-05-27T00:00:00"/>
    <x v="1"/>
    <x v="5"/>
    <s v="Electronics"/>
    <n v="9"/>
    <n v="5931"/>
    <x v="2"/>
    <x v="0"/>
  </r>
  <r>
    <d v="2024-03-09T00:00:00"/>
    <x v="11"/>
    <x v="6"/>
    <s v="Accessories"/>
    <n v="20"/>
    <n v="31860"/>
    <x v="4"/>
    <x v="3"/>
  </r>
  <r>
    <d v="2024-06-24T00:00:00"/>
    <x v="2"/>
    <x v="4"/>
    <s v="Accessories"/>
    <n v="19"/>
    <n v="1767"/>
    <x v="1"/>
    <x v="4"/>
  </r>
  <r>
    <d v="2023-11-25T00:00:00"/>
    <x v="0"/>
    <x v="0"/>
    <s v="Office"/>
    <n v="16"/>
    <n v="5120"/>
    <x v="2"/>
    <x v="2"/>
  </r>
  <r>
    <d v="2024-04-27T00:00:00"/>
    <x v="7"/>
    <x v="3"/>
    <s v="Mobile"/>
    <n v="1"/>
    <n v="1477"/>
    <x v="4"/>
    <x v="7"/>
  </r>
  <r>
    <d v="2024-01-16T00:00:00"/>
    <x v="5"/>
    <x v="5"/>
    <s v="Electronics"/>
    <n v="7"/>
    <n v="4312"/>
    <x v="0"/>
    <x v="6"/>
  </r>
  <r>
    <d v="2024-07-25T00:00:00"/>
    <x v="3"/>
    <x v="7"/>
    <s v="Computers"/>
    <n v="14"/>
    <n v="8764"/>
    <x v="0"/>
    <x v="7"/>
  </r>
  <r>
    <d v="2025-09-19T00:00:00"/>
    <x v="4"/>
    <x v="0"/>
    <s v="Office"/>
    <n v="14"/>
    <n v="1694"/>
    <x v="0"/>
    <x v="7"/>
  </r>
  <r>
    <d v="2023-10-17T00:00:00"/>
    <x v="6"/>
    <x v="5"/>
    <s v="Electronics"/>
    <n v="11"/>
    <n v="715"/>
    <x v="1"/>
    <x v="6"/>
  </r>
  <r>
    <d v="2025-08-02T00:00:00"/>
    <x v="9"/>
    <x v="1"/>
    <s v="Accessories"/>
    <n v="20"/>
    <n v="16580"/>
    <x v="3"/>
    <x v="4"/>
  </r>
  <r>
    <d v="2025-10-27T00:00:00"/>
    <x v="6"/>
    <x v="5"/>
    <s v="Electronics"/>
    <n v="5"/>
    <n v="9640"/>
    <x v="4"/>
    <x v="3"/>
  </r>
  <r>
    <d v="2024-05-01T00:00:00"/>
    <x v="1"/>
    <x v="1"/>
    <s v="Accessories"/>
    <n v="19"/>
    <n v="37202"/>
    <x v="3"/>
    <x v="0"/>
  </r>
  <r>
    <d v="2025-04-04T00:00:00"/>
    <x v="7"/>
    <x v="5"/>
    <s v="Electronics"/>
    <n v="16"/>
    <n v="26528"/>
    <x v="4"/>
    <x v="2"/>
  </r>
  <r>
    <d v="2024-07-11T00:00:00"/>
    <x v="3"/>
    <x v="5"/>
    <s v="Electronics"/>
    <n v="19"/>
    <n v="37582"/>
    <x v="4"/>
    <x v="1"/>
  </r>
  <r>
    <d v="2023-05-22T00:00:00"/>
    <x v="1"/>
    <x v="2"/>
    <s v="Computers"/>
    <n v="17"/>
    <n v="23222"/>
    <x v="4"/>
    <x v="3"/>
  </r>
  <r>
    <d v="2025-01-03T00:00:00"/>
    <x v="5"/>
    <x v="3"/>
    <s v="Mobile"/>
    <n v="4"/>
    <n v="3832"/>
    <x v="4"/>
    <x v="2"/>
  </r>
  <r>
    <d v="2023-10-27T00:00:00"/>
    <x v="6"/>
    <x v="5"/>
    <s v="Electronics"/>
    <n v="4"/>
    <n v="1340"/>
    <x v="1"/>
    <x v="0"/>
  </r>
  <r>
    <d v="2024-03-27T00:00:00"/>
    <x v="11"/>
    <x v="8"/>
    <s v="Mobile"/>
    <n v="15"/>
    <n v="2940"/>
    <x v="1"/>
    <x v="1"/>
  </r>
  <r>
    <d v="2024-07-31T00:00:00"/>
    <x v="3"/>
    <x v="8"/>
    <s v="Mobile"/>
    <n v="15"/>
    <n v="16605"/>
    <x v="0"/>
    <x v="6"/>
  </r>
  <r>
    <d v="2023-11-16T00:00:00"/>
    <x v="0"/>
    <x v="9"/>
    <s v="Wearables"/>
    <n v="1"/>
    <n v="85"/>
    <x v="0"/>
    <x v="0"/>
  </r>
  <r>
    <d v="2024-01-28T00:00:00"/>
    <x v="5"/>
    <x v="9"/>
    <s v="Wearables"/>
    <n v="20"/>
    <n v="30240"/>
    <x v="0"/>
    <x v="5"/>
  </r>
  <r>
    <d v="2025-05-20T00:00:00"/>
    <x v="1"/>
    <x v="9"/>
    <s v="Wearables"/>
    <n v="15"/>
    <n v="28875"/>
    <x v="0"/>
    <x v="1"/>
  </r>
  <r>
    <d v="2024-02-10T00:00:00"/>
    <x v="10"/>
    <x v="8"/>
    <s v="Mobile"/>
    <n v="15"/>
    <n v="23190"/>
    <x v="2"/>
    <x v="7"/>
  </r>
  <r>
    <d v="2025-08-08T00:00:00"/>
    <x v="9"/>
    <x v="3"/>
    <s v="Mobile"/>
    <n v="11"/>
    <n v="17226"/>
    <x v="4"/>
    <x v="7"/>
  </r>
  <r>
    <d v="2023-07-22T00:00:00"/>
    <x v="3"/>
    <x v="2"/>
    <s v="Computers"/>
    <n v="13"/>
    <n v="16497"/>
    <x v="0"/>
    <x v="6"/>
  </r>
  <r>
    <d v="2023-08-08T00:00:00"/>
    <x v="9"/>
    <x v="4"/>
    <s v="Accessories"/>
    <n v="11"/>
    <n v="12815"/>
    <x v="1"/>
    <x v="3"/>
  </r>
  <r>
    <d v="2025-10-27T00:00:00"/>
    <x v="6"/>
    <x v="7"/>
    <s v="Computers"/>
    <n v="4"/>
    <n v="5008"/>
    <x v="4"/>
    <x v="2"/>
  </r>
  <r>
    <d v="2023-01-15T00:00:00"/>
    <x v="5"/>
    <x v="8"/>
    <s v="Mobile"/>
    <n v="11"/>
    <n v="17556"/>
    <x v="4"/>
    <x v="2"/>
  </r>
  <r>
    <d v="2025-01-31T00:00:00"/>
    <x v="5"/>
    <x v="5"/>
    <s v="Electronics"/>
    <n v="14"/>
    <n v="7742"/>
    <x v="1"/>
    <x v="1"/>
  </r>
  <r>
    <d v="2025-06-04T00:00:00"/>
    <x v="2"/>
    <x v="4"/>
    <s v="Accessories"/>
    <n v="8"/>
    <n v="6856"/>
    <x v="2"/>
    <x v="6"/>
  </r>
  <r>
    <d v="2025-11-27T00:00:00"/>
    <x v="0"/>
    <x v="3"/>
    <s v="Mobile"/>
    <n v="6"/>
    <n v="5868"/>
    <x v="3"/>
    <x v="5"/>
  </r>
  <r>
    <d v="2025-02-09T00:00:00"/>
    <x v="10"/>
    <x v="6"/>
    <s v="Accessories"/>
    <n v="7"/>
    <n v="3675"/>
    <x v="4"/>
    <x v="5"/>
  </r>
  <r>
    <d v="2023-08-19T00:00:00"/>
    <x v="9"/>
    <x v="0"/>
    <s v="Office"/>
    <n v="10"/>
    <n v="1410"/>
    <x v="3"/>
    <x v="1"/>
  </r>
  <r>
    <d v="2024-01-06T00:00:00"/>
    <x v="5"/>
    <x v="3"/>
    <s v="Mobile"/>
    <n v="19"/>
    <n v="26448"/>
    <x v="2"/>
    <x v="3"/>
  </r>
  <r>
    <d v="2024-02-22T00:00:00"/>
    <x v="10"/>
    <x v="5"/>
    <s v="Electronics"/>
    <n v="4"/>
    <n v="6508"/>
    <x v="4"/>
    <x v="6"/>
  </r>
  <r>
    <d v="2024-08-12T00:00:00"/>
    <x v="9"/>
    <x v="2"/>
    <s v="Computers"/>
    <n v="15"/>
    <n v="5295"/>
    <x v="2"/>
    <x v="5"/>
  </r>
  <r>
    <d v="2023-07-25T00:00:00"/>
    <x v="3"/>
    <x v="8"/>
    <s v="Mobile"/>
    <n v="5"/>
    <n v="1620"/>
    <x v="1"/>
    <x v="4"/>
  </r>
  <r>
    <d v="2025-11-30T00:00:00"/>
    <x v="0"/>
    <x v="6"/>
    <s v="Accessories"/>
    <n v="14"/>
    <n v="27762"/>
    <x v="1"/>
    <x v="0"/>
  </r>
  <r>
    <d v="2025-02-23T00:00:00"/>
    <x v="10"/>
    <x v="4"/>
    <s v="Accessories"/>
    <n v="9"/>
    <n v="10926"/>
    <x v="4"/>
    <x v="5"/>
  </r>
  <r>
    <d v="2023-01-23T00:00:00"/>
    <x v="5"/>
    <x v="4"/>
    <s v="Accessories"/>
    <n v="18"/>
    <n v="23382"/>
    <x v="0"/>
    <x v="5"/>
  </r>
  <r>
    <d v="2025-03-25T00:00:00"/>
    <x v="11"/>
    <x v="9"/>
    <s v="Wearables"/>
    <n v="18"/>
    <n v="2916"/>
    <x v="1"/>
    <x v="2"/>
  </r>
  <r>
    <d v="2023-07-09T00:00:00"/>
    <x v="3"/>
    <x v="0"/>
    <s v="Office"/>
    <n v="9"/>
    <n v="6066"/>
    <x v="1"/>
    <x v="0"/>
  </r>
  <r>
    <d v="2024-08-28T00:00:00"/>
    <x v="9"/>
    <x v="8"/>
    <s v="Mobile"/>
    <n v="11"/>
    <n v="3157"/>
    <x v="3"/>
    <x v="3"/>
  </r>
  <r>
    <d v="2023-07-10T00:00:00"/>
    <x v="3"/>
    <x v="1"/>
    <s v="Accessories"/>
    <n v="3"/>
    <n v="4827"/>
    <x v="3"/>
    <x v="1"/>
  </r>
  <r>
    <d v="2024-08-12T00:00:00"/>
    <x v="9"/>
    <x v="4"/>
    <s v="Accessories"/>
    <n v="6"/>
    <n v="4470"/>
    <x v="2"/>
    <x v="2"/>
  </r>
  <r>
    <d v="2024-05-29T00:00:00"/>
    <x v="1"/>
    <x v="5"/>
    <s v="Electronics"/>
    <n v="17"/>
    <n v="6120"/>
    <x v="3"/>
    <x v="4"/>
  </r>
  <r>
    <d v="2025-06-15T00:00:00"/>
    <x v="2"/>
    <x v="0"/>
    <s v="Office"/>
    <n v="11"/>
    <n v="6831"/>
    <x v="4"/>
    <x v="7"/>
  </r>
  <r>
    <d v="2024-04-10T00:00:00"/>
    <x v="7"/>
    <x v="4"/>
    <s v="Accessories"/>
    <n v="19"/>
    <n v="2128"/>
    <x v="3"/>
    <x v="4"/>
  </r>
  <r>
    <d v="2024-06-15T00:00:00"/>
    <x v="2"/>
    <x v="3"/>
    <s v="Mobile"/>
    <n v="19"/>
    <n v="15580"/>
    <x v="4"/>
    <x v="3"/>
  </r>
  <r>
    <d v="2023-03-28T00:00:00"/>
    <x v="11"/>
    <x v="8"/>
    <s v="Mobile"/>
    <n v="7"/>
    <n v="10570"/>
    <x v="4"/>
    <x v="7"/>
  </r>
  <r>
    <d v="2023-07-05T00:00:00"/>
    <x v="3"/>
    <x v="5"/>
    <s v="Electronics"/>
    <n v="11"/>
    <n v="13948"/>
    <x v="1"/>
    <x v="4"/>
  </r>
  <r>
    <d v="2023-03-23T00:00:00"/>
    <x v="11"/>
    <x v="2"/>
    <s v="Computers"/>
    <n v="19"/>
    <n v="21508"/>
    <x v="2"/>
    <x v="5"/>
  </r>
  <r>
    <d v="2024-06-08T00:00:00"/>
    <x v="2"/>
    <x v="9"/>
    <s v="Wearables"/>
    <n v="6"/>
    <n v="10908"/>
    <x v="4"/>
    <x v="6"/>
  </r>
  <r>
    <d v="2025-02-05T00:00:00"/>
    <x v="10"/>
    <x v="6"/>
    <s v="Accessories"/>
    <n v="12"/>
    <n v="12600"/>
    <x v="0"/>
    <x v="4"/>
  </r>
  <r>
    <d v="2025-11-03T00:00:00"/>
    <x v="0"/>
    <x v="2"/>
    <s v="Computers"/>
    <n v="1"/>
    <n v="1631"/>
    <x v="0"/>
    <x v="5"/>
  </r>
  <r>
    <d v="2023-09-15T00:00:00"/>
    <x v="4"/>
    <x v="1"/>
    <s v="Accessories"/>
    <n v="13"/>
    <n v="23933"/>
    <x v="3"/>
    <x v="5"/>
  </r>
  <r>
    <d v="2024-08-31T00:00:00"/>
    <x v="9"/>
    <x v="2"/>
    <s v="Computers"/>
    <n v="15"/>
    <n v="8730"/>
    <x v="0"/>
    <x v="5"/>
  </r>
  <r>
    <d v="2024-12-10T00:00:00"/>
    <x v="8"/>
    <x v="3"/>
    <s v="Mobile"/>
    <n v="13"/>
    <n v="12532"/>
    <x v="1"/>
    <x v="4"/>
  </r>
  <r>
    <d v="2024-06-05T00:00:00"/>
    <x v="2"/>
    <x v="2"/>
    <s v="Computers"/>
    <n v="9"/>
    <n v="3735"/>
    <x v="4"/>
    <x v="4"/>
  </r>
  <r>
    <d v="2023-01-08T00:00:00"/>
    <x v="5"/>
    <x v="7"/>
    <s v="Computers"/>
    <n v="18"/>
    <n v="31842"/>
    <x v="0"/>
    <x v="2"/>
  </r>
  <r>
    <d v="2025-02-12T00:00:00"/>
    <x v="10"/>
    <x v="9"/>
    <s v="Wearables"/>
    <n v="11"/>
    <n v="13673"/>
    <x v="3"/>
    <x v="7"/>
  </r>
  <r>
    <d v="2025-06-01T00:00:00"/>
    <x v="2"/>
    <x v="2"/>
    <s v="Computers"/>
    <n v="18"/>
    <n v="11322"/>
    <x v="2"/>
    <x v="5"/>
  </r>
  <r>
    <d v="2023-06-21T00:00:00"/>
    <x v="2"/>
    <x v="5"/>
    <s v="Electronics"/>
    <n v="7"/>
    <n v="4865"/>
    <x v="4"/>
    <x v="7"/>
  </r>
  <r>
    <d v="2025-02-19T00:00:00"/>
    <x v="10"/>
    <x v="0"/>
    <s v="Office"/>
    <n v="16"/>
    <n v="10112"/>
    <x v="0"/>
    <x v="2"/>
  </r>
  <r>
    <d v="2023-03-17T00:00:00"/>
    <x v="11"/>
    <x v="2"/>
    <s v="Computers"/>
    <n v="18"/>
    <n v="12978"/>
    <x v="3"/>
    <x v="5"/>
  </r>
  <r>
    <d v="2025-09-02T00:00:00"/>
    <x v="4"/>
    <x v="7"/>
    <s v="Computers"/>
    <n v="14"/>
    <n v="6328"/>
    <x v="2"/>
    <x v="3"/>
  </r>
  <r>
    <d v="2024-12-14T00:00:00"/>
    <x v="8"/>
    <x v="5"/>
    <s v="Electronics"/>
    <n v="20"/>
    <n v="24320"/>
    <x v="2"/>
    <x v="4"/>
  </r>
  <r>
    <d v="2023-04-17T00:00:00"/>
    <x v="7"/>
    <x v="8"/>
    <s v="Mobile"/>
    <n v="7"/>
    <n v="13678"/>
    <x v="1"/>
    <x v="0"/>
  </r>
  <r>
    <d v="2025-08-06T00:00:00"/>
    <x v="9"/>
    <x v="9"/>
    <s v="Wearables"/>
    <n v="14"/>
    <n v="23702"/>
    <x v="3"/>
    <x v="3"/>
  </r>
  <r>
    <d v="2024-08-26T00:00:00"/>
    <x v="9"/>
    <x v="6"/>
    <s v="Accessories"/>
    <n v="9"/>
    <n v="15651"/>
    <x v="1"/>
    <x v="3"/>
  </r>
  <r>
    <d v="2024-11-03T00:00:00"/>
    <x v="0"/>
    <x v="2"/>
    <s v="Computers"/>
    <n v="14"/>
    <n v="7196"/>
    <x v="0"/>
    <x v="6"/>
  </r>
  <r>
    <d v="2024-10-17T00:00:00"/>
    <x v="6"/>
    <x v="2"/>
    <s v="Computers"/>
    <n v="10"/>
    <n v="6860"/>
    <x v="2"/>
    <x v="4"/>
  </r>
  <r>
    <d v="2024-08-12T00:00:00"/>
    <x v="9"/>
    <x v="2"/>
    <s v="Computers"/>
    <n v="18"/>
    <n v="14256"/>
    <x v="4"/>
    <x v="4"/>
  </r>
  <r>
    <d v="2025-04-02T00:00:00"/>
    <x v="7"/>
    <x v="2"/>
    <s v="Computers"/>
    <n v="1"/>
    <n v="1655"/>
    <x v="0"/>
    <x v="3"/>
  </r>
  <r>
    <d v="2025-03-18T00:00:00"/>
    <x v="11"/>
    <x v="4"/>
    <s v="Accessories"/>
    <n v="12"/>
    <n v="13152"/>
    <x v="4"/>
    <x v="1"/>
  </r>
  <r>
    <d v="2023-10-13T00:00:00"/>
    <x v="6"/>
    <x v="5"/>
    <s v="Electronics"/>
    <n v="6"/>
    <n v="9444"/>
    <x v="3"/>
    <x v="4"/>
  </r>
  <r>
    <d v="2024-07-12T00:00:00"/>
    <x v="3"/>
    <x v="9"/>
    <s v="Wearables"/>
    <n v="1"/>
    <n v="541"/>
    <x v="1"/>
    <x v="7"/>
  </r>
  <r>
    <d v="2025-12-13T00:00:00"/>
    <x v="8"/>
    <x v="5"/>
    <s v="Electronics"/>
    <n v="3"/>
    <n v="291"/>
    <x v="2"/>
    <x v="7"/>
  </r>
  <r>
    <d v="2025-03-01T00:00:00"/>
    <x v="11"/>
    <x v="7"/>
    <s v="Computers"/>
    <n v="20"/>
    <n v="4080"/>
    <x v="3"/>
    <x v="3"/>
  </r>
  <r>
    <d v="2024-06-18T00:00:00"/>
    <x v="2"/>
    <x v="9"/>
    <s v="Wearables"/>
    <n v="10"/>
    <n v="11100"/>
    <x v="3"/>
    <x v="7"/>
  </r>
  <r>
    <d v="2024-01-24T00:00:00"/>
    <x v="5"/>
    <x v="3"/>
    <s v="Mobile"/>
    <n v="19"/>
    <n v="34162"/>
    <x v="4"/>
    <x v="5"/>
  </r>
  <r>
    <d v="2024-06-19T00:00:00"/>
    <x v="2"/>
    <x v="9"/>
    <s v="Wearables"/>
    <n v="17"/>
    <n v="23885"/>
    <x v="0"/>
    <x v="6"/>
  </r>
  <r>
    <d v="2023-06-02T00:00:00"/>
    <x v="2"/>
    <x v="4"/>
    <s v="Accessories"/>
    <n v="1"/>
    <n v="830"/>
    <x v="0"/>
    <x v="1"/>
  </r>
  <r>
    <d v="2024-06-14T00:00:00"/>
    <x v="2"/>
    <x v="2"/>
    <s v="Computers"/>
    <n v="15"/>
    <n v="5430"/>
    <x v="1"/>
    <x v="0"/>
  </r>
  <r>
    <d v="2023-11-03T00:00:00"/>
    <x v="0"/>
    <x v="3"/>
    <s v="Mobile"/>
    <n v="2"/>
    <n v="1658"/>
    <x v="3"/>
    <x v="6"/>
  </r>
  <r>
    <d v="2025-01-19T00:00:00"/>
    <x v="5"/>
    <x v="5"/>
    <s v="Electronics"/>
    <n v="1"/>
    <n v="1971"/>
    <x v="2"/>
    <x v="6"/>
  </r>
  <r>
    <d v="2024-07-28T00:00:00"/>
    <x v="3"/>
    <x v="7"/>
    <s v="Computers"/>
    <n v="14"/>
    <n v="1722"/>
    <x v="0"/>
    <x v="3"/>
  </r>
  <r>
    <d v="2023-06-12T00:00:00"/>
    <x v="2"/>
    <x v="5"/>
    <s v="Electronics"/>
    <n v="7"/>
    <n v="2135"/>
    <x v="4"/>
    <x v="5"/>
  </r>
  <r>
    <d v="2025-08-07T00:00:00"/>
    <x v="9"/>
    <x v="7"/>
    <s v="Computers"/>
    <n v="19"/>
    <n v="23503"/>
    <x v="3"/>
    <x v="3"/>
  </r>
  <r>
    <d v="2024-09-03T00:00:00"/>
    <x v="4"/>
    <x v="7"/>
    <s v="Computers"/>
    <n v="17"/>
    <n v="15113"/>
    <x v="4"/>
    <x v="7"/>
  </r>
  <r>
    <d v="2023-02-08T00:00:00"/>
    <x v="10"/>
    <x v="3"/>
    <s v="Mobile"/>
    <n v="10"/>
    <n v="19040"/>
    <x v="2"/>
    <x v="4"/>
  </r>
  <r>
    <d v="2023-08-04T00:00:00"/>
    <x v="9"/>
    <x v="5"/>
    <s v="Electronics"/>
    <n v="9"/>
    <n v="11754"/>
    <x v="0"/>
    <x v="5"/>
  </r>
  <r>
    <d v="2025-06-06T00:00:00"/>
    <x v="2"/>
    <x v="9"/>
    <s v="Wearables"/>
    <n v="20"/>
    <n v="37260"/>
    <x v="2"/>
    <x v="7"/>
  </r>
  <r>
    <d v="2024-04-25T00:00:00"/>
    <x v="7"/>
    <x v="5"/>
    <s v="Electronics"/>
    <n v="6"/>
    <n v="8808"/>
    <x v="4"/>
    <x v="3"/>
  </r>
  <r>
    <d v="2023-07-17T00:00:00"/>
    <x v="3"/>
    <x v="4"/>
    <s v="Accessories"/>
    <n v="6"/>
    <n v="7998"/>
    <x v="1"/>
    <x v="6"/>
  </r>
  <r>
    <d v="2025-07-03T00:00:00"/>
    <x v="3"/>
    <x v="0"/>
    <s v="Office"/>
    <n v="5"/>
    <n v="5255"/>
    <x v="0"/>
    <x v="1"/>
  </r>
  <r>
    <d v="2025-08-21T00:00:00"/>
    <x v="9"/>
    <x v="2"/>
    <s v="Computers"/>
    <n v="3"/>
    <n v="4365"/>
    <x v="2"/>
    <x v="6"/>
  </r>
  <r>
    <d v="2023-07-10T00:00:00"/>
    <x v="3"/>
    <x v="9"/>
    <s v="Wearables"/>
    <n v="18"/>
    <n v="25326"/>
    <x v="0"/>
    <x v="1"/>
  </r>
  <r>
    <d v="2024-10-10T00:00:00"/>
    <x v="6"/>
    <x v="5"/>
    <s v="Electronics"/>
    <n v="18"/>
    <n v="21114"/>
    <x v="0"/>
    <x v="7"/>
  </r>
  <r>
    <d v="2024-12-19T00:00:00"/>
    <x v="8"/>
    <x v="0"/>
    <s v="Office"/>
    <n v="14"/>
    <n v="6636"/>
    <x v="2"/>
    <x v="4"/>
  </r>
  <r>
    <d v="2024-06-11T00:00:00"/>
    <x v="2"/>
    <x v="9"/>
    <s v="Wearables"/>
    <n v="11"/>
    <n v="17567"/>
    <x v="2"/>
    <x v="6"/>
  </r>
  <r>
    <d v="2023-06-02T00:00:00"/>
    <x v="2"/>
    <x v="7"/>
    <s v="Computers"/>
    <n v="16"/>
    <n v="19152"/>
    <x v="2"/>
    <x v="7"/>
  </r>
  <r>
    <d v="2023-05-03T00:00:00"/>
    <x v="1"/>
    <x v="9"/>
    <s v="Wearables"/>
    <n v="1"/>
    <n v="206"/>
    <x v="4"/>
    <x v="2"/>
  </r>
  <r>
    <d v="2024-09-03T00:00:00"/>
    <x v="4"/>
    <x v="2"/>
    <s v="Computers"/>
    <n v="1"/>
    <n v="1126"/>
    <x v="3"/>
    <x v="4"/>
  </r>
  <r>
    <d v="2025-05-18T00:00:00"/>
    <x v="1"/>
    <x v="3"/>
    <s v="Mobile"/>
    <n v="18"/>
    <n v="31410"/>
    <x v="4"/>
    <x v="5"/>
  </r>
  <r>
    <d v="2023-03-08T00:00:00"/>
    <x v="11"/>
    <x v="1"/>
    <s v="Accessories"/>
    <n v="12"/>
    <n v="22644"/>
    <x v="1"/>
    <x v="2"/>
  </r>
  <r>
    <d v="2024-03-24T00:00:00"/>
    <x v="11"/>
    <x v="1"/>
    <s v="Accessories"/>
    <n v="3"/>
    <n v="648"/>
    <x v="1"/>
    <x v="2"/>
  </r>
  <r>
    <d v="2024-11-11T00:00:00"/>
    <x v="0"/>
    <x v="8"/>
    <s v="Mobile"/>
    <n v="6"/>
    <n v="7362"/>
    <x v="4"/>
    <x v="7"/>
  </r>
  <r>
    <d v="2024-02-29T00:00:00"/>
    <x v="10"/>
    <x v="5"/>
    <s v="Electronics"/>
    <n v="19"/>
    <n v="28443"/>
    <x v="3"/>
    <x v="7"/>
  </r>
  <r>
    <d v="2023-04-11T00:00:00"/>
    <x v="7"/>
    <x v="5"/>
    <s v="Electronics"/>
    <n v="15"/>
    <n v="22350"/>
    <x v="2"/>
    <x v="3"/>
  </r>
  <r>
    <d v="2024-02-12T00:00:00"/>
    <x v="10"/>
    <x v="1"/>
    <s v="Accessories"/>
    <n v="5"/>
    <n v="8005"/>
    <x v="3"/>
    <x v="2"/>
  </r>
  <r>
    <d v="2024-04-10T00:00:00"/>
    <x v="7"/>
    <x v="8"/>
    <s v="Mobile"/>
    <n v="5"/>
    <n v="2170"/>
    <x v="4"/>
    <x v="6"/>
  </r>
  <r>
    <d v="2025-05-06T00:00:00"/>
    <x v="1"/>
    <x v="4"/>
    <s v="Accessories"/>
    <n v="11"/>
    <n v="14300"/>
    <x v="1"/>
    <x v="0"/>
  </r>
  <r>
    <d v="2024-03-04T00:00:00"/>
    <x v="11"/>
    <x v="5"/>
    <s v="Electronics"/>
    <n v="8"/>
    <n v="5280"/>
    <x v="0"/>
    <x v="3"/>
  </r>
  <r>
    <d v="2024-12-07T00:00:00"/>
    <x v="8"/>
    <x v="0"/>
    <s v="Office"/>
    <n v="19"/>
    <n v="27531"/>
    <x v="1"/>
    <x v="0"/>
  </r>
  <r>
    <d v="2023-08-22T00:00:00"/>
    <x v="9"/>
    <x v="2"/>
    <s v="Computers"/>
    <n v="18"/>
    <n v="16308"/>
    <x v="2"/>
    <x v="6"/>
  </r>
  <r>
    <d v="2024-12-21T00:00:00"/>
    <x v="8"/>
    <x v="8"/>
    <s v="Mobile"/>
    <n v="5"/>
    <n v="3445"/>
    <x v="0"/>
    <x v="3"/>
  </r>
  <r>
    <d v="2025-12-15T00:00:00"/>
    <x v="8"/>
    <x v="1"/>
    <s v="Accessories"/>
    <n v="10"/>
    <n v="8030"/>
    <x v="0"/>
    <x v="5"/>
  </r>
  <r>
    <d v="2024-01-08T00:00:00"/>
    <x v="5"/>
    <x v="3"/>
    <s v="Mobile"/>
    <n v="20"/>
    <n v="27420"/>
    <x v="1"/>
    <x v="3"/>
  </r>
  <r>
    <d v="2025-05-24T00:00:00"/>
    <x v="1"/>
    <x v="9"/>
    <s v="Wearables"/>
    <n v="11"/>
    <n v="3883"/>
    <x v="2"/>
    <x v="2"/>
  </r>
  <r>
    <d v="2024-07-18T00:00:00"/>
    <x v="3"/>
    <x v="5"/>
    <s v="Electronics"/>
    <n v="15"/>
    <n v="8325"/>
    <x v="0"/>
    <x v="4"/>
  </r>
  <r>
    <d v="2025-09-08T00:00:00"/>
    <x v="4"/>
    <x v="1"/>
    <s v="Accessories"/>
    <n v="10"/>
    <n v="17200"/>
    <x v="4"/>
    <x v="3"/>
  </r>
  <r>
    <d v="2024-10-22T00:00:00"/>
    <x v="6"/>
    <x v="6"/>
    <s v="Accessories"/>
    <n v="18"/>
    <n v="13716"/>
    <x v="2"/>
    <x v="4"/>
  </r>
  <r>
    <d v="2025-11-27T00:00:00"/>
    <x v="0"/>
    <x v="5"/>
    <s v="Electronics"/>
    <n v="2"/>
    <n v="3376"/>
    <x v="1"/>
    <x v="5"/>
  </r>
  <r>
    <d v="2025-01-22T00:00:00"/>
    <x v="5"/>
    <x v="2"/>
    <s v="Computers"/>
    <n v="7"/>
    <n v="6454"/>
    <x v="2"/>
    <x v="6"/>
  </r>
  <r>
    <d v="2023-08-24T00:00:00"/>
    <x v="9"/>
    <x v="8"/>
    <s v="Mobile"/>
    <n v="2"/>
    <n v="3446"/>
    <x v="3"/>
    <x v="7"/>
  </r>
  <r>
    <d v="2023-08-21T00:00:00"/>
    <x v="9"/>
    <x v="5"/>
    <s v="Electronics"/>
    <n v="5"/>
    <n v="1495"/>
    <x v="0"/>
    <x v="2"/>
  </r>
  <r>
    <d v="2025-06-08T00:00:00"/>
    <x v="2"/>
    <x v="8"/>
    <s v="Mobile"/>
    <n v="2"/>
    <n v="758"/>
    <x v="0"/>
    <x v="4"/>
  </r>
  <r>
    <d v="2024-07-21T00:00:00"/>
    <x v="3"/>
    <x v="4"/>
    <s v="Accessories"/>
    <n v="11"/>
    <n v="1969"/>
    <x v="1"/>
    <x v="3"/>
  </r>
  <r>
    <d v="2025-03-28T00:00:00"/>
    <x v="11"/>
    <x v="5"/>
    <s v="Electronics"/>
    <n v="8"/>
    <n v="15096"/>
    <x v="1"/>
    <x v="0"/>
  </r>
  <r>
    <d v="2023-04-20T00:00:00"/>
    <x v="7"/>
    <x v="8"/>
    <s v="Mobile"/>
    <n v="19"/>
    <n v="1140"/>
    <x v="1"/>
    <x v="6"/>
  </r>
  <r>
    <d v="2023-04-18T00:00:00"/>
    <x v="7"/>
    <x v="4"/>
    <s v="Accessories"/>
    <n v="9"/>
    <n v="3762"/>
    <x v="1"/>
    <x v="4"/>
  </r>
  <r>
    <d v="2024-10-15T00:00:00"/>
    <x v="6"/>
    <x v="3"/>
    <s v="Mobile"/>
    <n v="14"/>
    <n v="17122"/>
    <x v="1"/>
    <x v="6"/>
  </r>
  <r>
    <d v="2025-07-30T00:00:00"/>
    <x v="3"/>
    <x v="5"/>
    <s v="Electronics"/>
    <n v="7"/>
    <n v="6608"/>
    <x v="1"/>
    <x v="0"/>
  </r>
  <r>
    <d v="2024-04-24T00:00:00"/>
    <x v="7"/>
    <x v="6"/>
    <s v="Accessories"/>
    <n v="2"/>
    <n v="2370"/>
    <x v="1"/>
    <x v="2"/>
  </r>
  <r>
    <d v="2024-11-06T00:00:00"/>
    <x v="0"/>
    <x v="6"/>
    <s v="Accessories"/>
    <n v="2"/>
    <n v="3666"/>
    <x v="3"/>
    <x v="4"/>
  </r>
  <r>
    <d v="2024-04-30T00:00:00"/>
    <x v="7"/>
    <x v="7"/>
    <s v="Computers"/>
    <n v="9"/>
    <n v="6579"/>
    <x v="1"/>
    <x v="0"/>
  </r>
  <r>
    <d v="2024-11-24T00:00:00"/>
    <x v="0"/>
    <x v="7"/>
    <s v="Computers"/>
    <n v="9"/>
    <n v="13284"/>
    <x v="4"/>
    <x v="0"/>
  </r>
  <r>
    <d v="2025-10-12T00:00:00"/>
    <x v="6"/>
    <x v="1"/>
    <s v="Accessories"/>
    <n v="4"/>
    <n v="6492"/>
    <x v="0"/>
    <x v="6"/>
  </r>
  <r>
    <d v="2025-03-01T00:00:00"/>
    <x v="11"/>
    <x v="7"/>
    <s v="Computers"/>
    <n v="8"/>
    <n v="6088"/>
    <x v="4"/>
    <x v="6"/>
  </r>
  <r>
    <d v="2024-03-02T00:00:00"/>
    <x v="11"/>
    <x v="8"/>
    <s v="Mobile"/>
    <n v="10"/>
    <n v="9090"/>
    <x v="4"/>
    <x v="3"/>
  </r>
  <r>
    <d v="2024-01-07T00:00:00"/>
    <x v="5"/>
    <x v="3"/>
    <s v="Mobile"/>
    <n v="4"/>
    <n v="2588"/>
    <x v="2"/>
    <x v="7"/>
  </r>
  <r>
    <d v="2023-12-20T00:00:00"/>
    <x v="8"/>
    <x v="4"/>
    <s v="Accessories"/>
    <n v="20"/>
    <n v="33380"/>
    <x v="3"/>
    <x v="7"/>
  </r>
  <r>
    <d v="2024-01-12T00:00:00"/>
    <x v="5"/>
    <x v="1"/>
    <s v="Accessories"/>
    <n v="13"/>
    <n v="17433"/>
    <x v="2"/>
    <x v="5"/>
  </r>
  <r>
    <d v="2023-06-23T00:00:00"/>
    <x v="2"/>
    <x v="3"/>
    <s v="Mobile"/>
    <n v="3"/>
    <n v="5706"/>
    <x v="1"/>
    <x v="1"/>
  </r>
  <r>
    <d v="2024-06-17T00:00:00"/>
    <x v="2"/>
    <x v="4"/>
    <s v="Accessories"/>
    <n v="2"/>
    <n v="2742"/>
    <x v="4"/>
    <x v="5"/>
  </r>
  <r>
    <d v="2025-04-22T00:00:00"/>
    <x v="7"/>
    <x v="1"/>
    <s v="Accessories"/>
    <n v="3"/>
    <n v="5379"/>
    <x v="3"/>
    <x v="0"/>
  </r>
  <r>
    <d v="2025-12-18T00:00:00"/>
    <x v="8"/>
    <x v="8"/>
    <s v="Mobile"/>
    <n v="3"/>
    <n v="492"/>
    <x v="2"/>
    <x v="4"/>
  </r>
  <r>
    <d v="2024-12-19T00:00:00"/>
    <x v="8"/>
    <x v="3"/>
    <s v="Mobile"/>
    <n v="7"/>
    <n v="10633"/>
    <x v="0"/>
    <x v="3"/>
  </r>
  <r>
    <d v="2025-01-05T00:00:00"/>
    <x v="5"/>
    <x v="9"/>
    <s v="Wearables"/>
    <n v="13"/>
    <n v="6006"/>
    <x v="3"/>
    <x v="6"/>
  </r>
  <r>
    <d v="2023-08-04T00:00:00"/>
    <x v="9"/>
    <x v="3"/>
    <s v="Mobile"/>
    <n v="6"/>
    <n v="5592"/>
    <x v="4"/>
    <x v="5"/>
  </r>
  <r>
    <d v="2025-02-05T00:00:00"/>
    <x v="10"/>
    <x v="9"/>
    <s v="Wearables"/>
    <n v="11"/>
    <n v="20416"/>
    <x v="4"/>
    <x v="4"/>
  </r>
  <r>
    <d v="2025-12-27T00:00:00"/>
    <x v="8"/>
    <x v="5"/>
    <s v="Electronics"/>
    <n v="2"/>
    <n v="3990"/>
    <x v="2"/>
    <x v="4"/>
  </r>
  <r>
    <d v="2024-02-12T00:00:00"/>
    <x v="10"/>
    <x v="7"/>
    <s v="Computers"/>
    <n v="7"/>
    <n v="5096"/>
    <x v="0"/>
    <x v="6"/>
  </r>
  <r>
    <d v="2023-11-18T00:00:00"/>
    <x v="0"/>
    <x v="0"/>
    <s v="Office"/>
    <n v="6"/>
    <n v="2004"/>
    <x v="0"/>
    <x v="4"/>
  </r>
  <r>
    <d v="2024-04-26T00:00:00"/>
    <x v="7"/>
    <x v="6"/>
    <s v="Accessories"/>
    <n v="11"/>
    <n v="14311"/>
    <x v="2"/>
    <x v="7"/>
  </r>
  <r>
    <d v="2025-04-18T00:00:00"/>
    <x v="7"/>
    <x v="5"/>
    <s v="Electronics"/>
    <n v="4"/>
    <n v="5908"/>
    <x v="2"/>
    <x v="4"/>
  </r>
  <r>
    <d v="2025-07-08T00:00:00"/>
    <x v="3"/>
    <x v="0"/>
    <s v="Office"/>
    <n v="2"/>
    <n v="2814"/>
    <x v="1"/>
    <x v="0"/>
  </r>
  <r>
    <d v="2025-05-25T00:00:00"/>
    <x v="1"/>
    <x v="2"/>
    <s v="Computers"/>
    <n v="6"/>
    <n v="10860"/>
    <x v="3"/>
    <x v="0"/>
  </r>
  <r>
    <d v="2023-12-14T00:00:00"/>
    <x v="8"/>
    <x v="4"/>
    <s v="Accessories"/>
    <n v="10"/>
    <n v="19940"/>
    <x v="1"/>
    <x v="0"/>
  </r>
  <r>
    <d v="2023-08-13T00:00:00"/>
    <x v="9"/>
    <x v="0"/>
    <s v="Office"/>
    <n v="1"/>
    <n v="1809"/>
    <x v="3"/>
    <x v="5"/>
  </r>
  <r>
    <d v="2024-08-18T00:00:00"/>
    <x v="9"/>
    <x v="2"/>
    <s v="Computers"/>
    <n v="11"/>
    <n v="1122"/>
    <x v="1"/>
    <x v="5"/>
  </r>
  <r>
    <d v="2025-12-12T00:00:00"/>
    <x v="8"/>
    <x v="6"/>
    <s v="Accessories"/>
    <n v="8"/>
    <n v="8176"/>
    <x v="4"/>
    <x v="4"/>
  </r>
  <r>
    <d v="2023-06-12T00:00:00"/>
    <x v="2"/>
    <x v="2"/>
    <s v="Computers"/>
    <n v="19"/>
    <n v="28443"/>
    <x v="4"/>
    <x v="4"/>
  </r>
  <r>
    <d v="2023-10-22T00:00:00"/>
    <x v="6"/>
    <x v="2"/>
    <s v="Computers"/>
    <n v="12"/>
    <n v="23496"/>
    <x v="1"/>
    <x v="6"/>
  </r>
  <r>
    <d v="2024-05-15T00:00:00"/>
    <x v="1"/>
    <x v="7"/>
    <s v="Computers"/>
    <n v="3"/>
    <n v="2091"/>
    <x v="1"/>
    <x v="2"/>
  </r>
  <r>
    <d v="2023-07-07T00:00:00"/>
    <x v="3"/>
    <x v="0"/>
    <s v="Office"/>
    <n v="11"/>
    <n v="12034"/>
    <x v="2"/>
    <x v="0"/>
  </r>
  <r>
    <d v="2025-12-31T00:00:00"/>
    <x v="8"/>
    <x v="7"/>
    <s v="Computers"/>
    <n v="20"/>
    <n v="7280"/>
    <x v="1"/>
    <x v="4"/>
  </r>
  <r>
    <d v="2024-04-05T00:00:00"/>
    <x v="7"/>
    <x v="5"/>
    <s v="Electronics"/>
    <n v="19"/>
    <n v="34808"/>
    <x v="3"/>
    <x v="1"/>
  </r>
  <r>
    <d v="2024-06-14T00:00:00"/>
    <x v="2"/>
    <x v="8"/>
    <s v="Mobile"/>
    <n v="9"/>
    <n v="8775"/>
    <x v="3"/>
    <x v="7"/>
  </r>
  <r>
    <d v="2025-10-09T00:00:00"/>
    <x v="6"/>
    <x v="9"/>
    <s v="Wearables"/>
    <n v="13"/>
    <n v="18551"/>
    <x v="2"/>
    <x v="6"/>
  </r>
  <r>
    <d v="2023-09-21T00:00:00"/>
    <x v="4"/>
    <x v="8"/>
    <s v="Mobile"/>
    <n v="8"/>
    <n v="6824"/>
    <x v="4"/>
    <x v="5"/>
  </r>
  <r>
    <d v="2023-02-15T00:00:00"/>
    <x v="10"/>
    <x v="3"/>
    <s v="Mobile"/>
    <n v="17"/>
    <n v="22848"/>
    <x v="1"/>
    <x v="4"/>
  </r>
  <r>
    <d v="2023-07-25T00:00:00"/>
    <x v="3"/>
    <x v="9"/>
    <s v="Wearables"/>
    <n v="7"/>
    <n v="3045"/>
    <x v="3"/>
    <x v="4"/>
  </r>
  <r>
    <d v="2024-10-01T00:00:00"/>
    <x v="6"/>
    <x v="4"/>
    <s v="Accessories"/>
    <n v="12"/>
    <n v="19920"/>
    <x v="2"/>
    <x v="6"/>
  </r>
  <r>
    <d v="2025-12-12T00:00:00"/>
    <x v="8"/>
    <x v="2"/>
    <s v="Computers"/>
    <n v="17"/>
    <n v="16558"/>
    <x v="0"/>
    <x v="1"/>
  </r>
  <r>
    <d v="2025-09-10T00:00:00"/>
    <x v="4"/>
    <x v="3"/>
    <s v="Mobile"/>
    <n v="4"/>
    <n v="5288"/>
    <x v="1"/>
    <x v="7"/>
  </r>
  <r>
    <d v="2024-10-15T00:00:00"/>
    <x v="6"/>
    <x v="1"/>
    <s v="Accessories"/>
    <n v="10"/>
    <n v="7330"/>
    <x v="0"/>
    <x v="2"/>
  </r>
  <r>
    <d v="2025-09-04T00:00:00"/>
    <x v="4"/>
    <x v="2"/>
    <s v="Computers"/>
    <n v="10"/>
    <n v="13300"/>
    <x v="0"/>
    <x v="6"/>
  </r>
  <r>
    <d v="2025-09-14T00:00:00"/>
    <x v="4"/>
    <x v="5"/>
    <s v="Electronics"/>
    <n v="10"/>
    <n v="18060"/>
    <x v="1"/>
    <x v="2"/>
  </r>
  <r>
    <d v="2025-07-15T00:00:00"/>
    <x v="3"/>
    <x v="3"/>
    <s v="Mobile"/>
    <n v="18"/>
    <n v="5274"/>
    <x v="0"/>
    <x v="0"/>
  </r>
  <r>
    <d v="2023-01-03T00:00:00"/>
    <x v="5"/>
    <x v="1"/>
    <s v="Accessories"/>
    <n v="17"/>
    <n v="27557"/>
    <x v="3"/>
    <x v="6"/>
  </r>
  <r>
    <d v="2023-05-05T00:00:00"/>
    <x v="1"/>
    <x v="4"/>
    <s v="Accessories"/>
    <n v="17"/>
    <n v="28356"/>
    <x v="3"/>
    <x v="6"/>
  </r>
  <r>
    <d v="2024-10-28T00:00:00"/>
    <x v="6"/>
    <x v="1"/>
    <s v="Accessories"/>
    <n v="11"/>
    <n v="5654"/>
    <x v="4"/>
    <x v="0"/>
  </r>
  <r>
    <d v="2025-10-25T00:00:00"/>
    <x v="6"/>
    <x v="2"/>
    <s v="Computers"/>
    <n v="1"/>
    <n v="1022"/>
    <x v="4"/>
    <x v="4"/>
  </r>
  <r>
    <d v="2024-01-15T00:00:00"/>
    <x v="5"/>
    <x v="6"/>
    <s v="Accessories"/>
    <n v="10"/>
    <n v="9110"/>
    <x v="4"/>
    <x v="6"/>
  </r>
  <r>
    <d v="2024-12-07T00:00:00"/>
    <x v="8"/>
    <x v="9"/>
    <s v="Wearables"/>
    <n v="16"/>
    <n v="26000"/>
    <x v="2"/>
    <x v="2"/>
  </r>
  <r>
    <d v="2024-11-21T00:00:00"/>
    <x v="0"/>
    <x v="3"/>
    <s v="Mobile"/>
    <n v="8"/>
    <n v="11000"/>
    <x v="0"/>
    <x v="4"/>
  </r>
  <r>
    <d v="2025-04-12T00:00:00"/>
    <x v="7"/>
    <x v="9"/>
    <s v="Wearables"/>
    <n v="2"/>
    <n v="1804"/>
    <x v="2"/>
    <x v="0"/>
  </r>
  <r>
    <d v="2025-03-20T00:00:00"/>
    <x v="11"/>
    <x v="9"/>
    <s v="Wearables"/>
    <n v="20"/>
    <n v="31220"/>
    <x v="4"/>
    <x v="1"/>
  </r>
  <r>
    <d v="2024-10-01T00:00:00"/>
    <x v="6"/>
    <x v="5"/>
    <s v="Electronics"/>
    <n v="2"/>
    <n v="1824"/>
    <x v="3"/>
    <x v="2"/>
  </r>
  <r>
    <d v="2023-03-23T00:00:00"/>
    <x v="11"/>
    <x v="1"/>
    <s v="Accessories"/>
    <n v="13"/>
    <n v="1248"/>
    <x v="1"/>
    <x v="1"/>
  </r>
  <r>
    <d v="2023-01-05T00:00:00"/>
    <x v="5"/>
    <x v="7"/>
    <s v="Computers"/>
    <n v="20"/>
    <n v="14900"/>
    <x v="4"/>
    <x v="3"/>
  </r>
  <r>
    <d v="2023-09-15T00:00:00"/>
    <x v="4"/>
    <x v="0"/>
    <s v="Office"/>
    <n v="9"/>
    <n v="1917"/>
    <x v="1"/>
    <x v="5"/>
  </r>
  <r>
    <d v="2024-09-05T00:00:00"/>
    <x v="4"/>
    <x v="1"/>
    <s v="Accessories"/>
    <n v="7"/>
    <n v="8295"/>
    <x v="0"/>
    <x v="0"/>
  </r>
  <r>
    <d v="2023-06-03T00:00:00"/>
    <x v="2"/>
    <x v="1"/>
    <s v="Accessories"/>
    <n v="9"/>
    <n v="11412"/>
    <x v="4"/>
    <x v="5"/>
  </r>
  <r>
    <d v="2024-04-04T00:00:00"/>
    <x v="7"/>
    <x v="9"/>
    <s v="Wearables"/>
    <n v="11"/>
    <n v="15708"/>
    <x v="0"/>
    <x v="0"/>
  </r>
  <r>
    <d v="2023-08-24T00:00:00"/>
    <x v="9"/>
    <x v="1"/>
    <s v="Accessories"/>
    <n v="11"/>
    <n v="18920"/>
    <x v="4"/>
    <x v="0"/>
  </r>
  <r>
    <d v="2023-06-03T00:00:00"/>
    <x v="2"/>
    <x v="9"/>
    <s v="Wearables"/>
    <n v="9"/>
    <n v="5697"/>
    <x v="0"/>
    <x v="1"/>
  </r>
  <r>
    <d v="2023-01-23T00:00:00"/>
    <x v="5"/>
    <x v="9"/>
    <s v="Wearables"/>
    <n v="19"/>
    <n v="17271"/>
    <x v="3"/>
    <x v="4"/>
  </r>
  <r>
    <d v="2023-03-14T00:00:00"/>
    <x v="11"/>
    <x v="8"/>
    <s v="Mobile"/>
    <n v="12"/>
    <n v="4212"/>
    <x v="2"/>
    <x v="7"/>
  </r>
  <r>
    <d v="2023-08-06T00:00:00"/>
    <x v="9"/>
    <x v="6"/>
    <s v="Accessories"/>
    <n v="8"/>
    <n v="2304"/>
    <x v="2"/>
    <x v="7"/>
  </r>
  <r>
    <d v="2024-01-20T00:00:00"/>
    <x v="5"/>
    <x v="8"/>
    <s v="Mobile"/>
    <n v="20"/>
    <n v="11340"/>
    <x v="3"/>
    <x v="3"/>
  </r>
  <r>
    <d v="2024-04-01T00:00:00"/>
    <x v="7"/>
    <x v="2"/>
    <s v="Computers"/>
    <n v="15"/>
    <n v="21060"/>
    <x v="3"/>
    <x v="0"/>
  </r>
  <r>
    <d v="2023-11-27T00:00:00"/>
    <x v="0"/>
    <x v="0"/>
    <s v="Office"/>
    <n v="9"/>
    <n v="8901"/>
    <x v="1"/>
    <x v="0"/>
  </r>
  <r>
    <d v="2025-02-17T00:00:00"/>
    <x v="10"/>
    <x v="9"/>
    <s v="Wearables"/>
    <n v="1"/>
    <n v="395"/>
    <x v="4"/>
    <x v="0"/>
  </r>
  <r>
    <d v="2025-05-06T00:00:00"/>
    <x v="1"/>
    <x v="8"/>
    <s v="Mobile"/>
    <n v="6"/>
    <n v="4374"/>
    <x v="0"/>
    <x v="1"/>
  </r>
  <r>
    <d v="2023-09-12T00:00:00"/>
    <x v="4"/>
    <x v="3"/>
    <s v="Mobile"/>
    <n v="13"/>
    <n v="2405"/>
    <x v="3"/>
    <x v="2"/>
  </r>
  <r>
    <d v="2024-10-01T00:00:00"/>
    <x v="6"/>
    <x v="2"/>
    <s v="Computers"/>
    <n v="4"/>
    <n v="7868"/>
    <x v="4"/>
    <x v="1"/>
  </r>
  <r>
    <d v="2024-05-04T00:00:00"/>
    <x v="1"/>
    <x v="8"/>
    <s v="Mobile"/>
    <n v="2"/>
    <n v="1854"/>
    <x v="1"/>
    <x v="6"/>
  </r>
  <r>
    <d v="2025-06-21T00:00:00"/>
    <x v="2"/>
    <x v="5"/>
    <s v="Electronics"/>
    <n v="16"/>
    <n v="22240"/>
    <x v="2"/>
    <x v="3"/>
  </r>
  <r>
    <d v="2024-04-14T00:00:00"/>
    <x v="7"/>
    <x v="7"/>
    <s v="Computers"/>
    <n v="16"/>
    <n v="16864"/>
    <x v="0"/>
    <x v="5"/>
  </r>
  <r>
    <d v="2025-06-20T00:00:00"/>
    <x v="2"/>
    <x v="8"/>
    <s v="Mobile"/>
    <n v="10"/>
    <n v="15270"/>
    <x v="1"/>
    <x v="6"/>
  </r>
  <r>
    <d v="2024-08-13T00:00:00"/>
    <x v="9"/>
    <x v="5"/>
    <s v="Electronics"/>
    <n v="17"/>
    <n v="2465"/>
    <x v="4"/>
    <x v="5"/>
  </r>
  <r>
    <d v="2024-07-04T00:00:00"/>
    <x v="3"/>
    <x v="3"/>
    <s v="Mobile"/>
    <n v="6"/>
    <n v="660"/>
    <x v="0"/>
    <x v="6"/>
  </r>
  <r>
    <d v="2025-06-16T00:00:00"/>
    <x v="2"/>
    <x v="1"/>
    <s v="Accessories"/>
    <n v="20"/>
    <n v="7860"/>
    <x v="3"/>
    <x v="0"/>
  </r>
  <r>
    <d v="2024-06-29T00:00:00"/>
    <x v="2"/>
    <x v="2"/>
    <s v="Computers"/>
    <n v="10"/>
    <n v="17450"/>
    <x v="2"/>
    <x v="2"/>
  </r>
  <r>
    <d v="2023-02-03T00:00:00"/>
    <x v="10"/>
    <x v="6"/>
    <s v="Accessories"/>
    <n v="18"/>
    <n v="25758"/>
    <x v="2"/>
    <x v="0"/>
  </r>
  <r>
    <d v="2024-03-10T00:00:00"/>
    <x v="11"/>
    <x v="0"/>
    <s v="Office"/>
    <n v="16"/>
    <n v="23120"/>
    <x v="3"/>
    <x v="5"/>
  </r>
  <r>
    <d v="2024-10-28T00:00:00"/>
    <x v="6"/>
    <x v="1"/>
    <s v="Accessories"/>
    <n v="12"/>
    <n v="3000"/>
    <x v="1"/>
    <x v="5"/>
  </r>
  <r>
    <d v="2025-11-24T00:00:00"/>
    <x v="0"/>
    <x v="5"/>
    <s v="Electronics"/>
    <n v="15"/>
    <n v="21135"/>
    <x v="4"/>
    <x v="0"/>
  </r>
  <r>
    <d v="2023-06-22T00:00:00"/>
    <x v="2"/>
    <x v="3"/>
    <s v="Mobile"/>
    <n v="12"/>
    <n v="7572"/>
    <x v="3"/>
    <x v="4"/>
  </r>
  <r>
    <d v="2025-07-17T00:00:00"/>
    <x v="3"/>
    <x v="9"/>
    <s v="Wearables"/>
    <n v="5"/>
    <n v="2750"/>
    <x v="3"/>
    <x v="7"/>
  </r>
  <r>
    <d v="2025-09-16T00:00:00"/>
    <x v="4"/>
    <x v="2"/>
    <s v="Computers"/>
    <n v="12"/>
    <n v="19152"/>
    <x v="0"/>
    <x v="1"/>
  </r>
  <r>
    <d v="2025-10-06T00:00:00"/>
    <x v="6"/>
    <x v="6"/>
    <s v="Accessories"/>
    <n v="19"/>
    <n v="36423"/>
    <x v="2"/>
    <x v="1"/>
  </r>
  <r>
    <d v="2023-09-17T00:00:00"/>
    <x v="4"/>
    <x v="0"/>
    <s v="Office"/>
    <n v="13"/>
    <n v="4290"/>
    <x v="1"/>
    <x v="5"/>
  </r>
  <r>
    <d v="2023-07-26T00:00:00"/>
    <x v="3"/>
    <x v="9"/>
    <s v="Wearables"/>
    <n v="15"/>
    <n v="14055"/>
    <x v="0"/>
    <x v="3"/>
  </r>
  <r>
    <d v="2025-09-27T00:00:00"/>
    <x v="4"/>
    <x v="7"/>
    <s v="Computers"/>
    <n v="10"/>
    <n v="14110"/>
    <x v="0"/>
    <x v="7"/>
  </r>
  <r>
    <d v="2025-08-21T00:00:00"/>
    <x v="9"/>
    <x v="1"/>
    <s v="Accessories"/>
    <n v="1"/>
    <n v="1123"/>
    <x v="1"/>
    <x v="3"/>
  </r>
  <r>
    <d v="2023-11-26T00:00:00"/>
    <x v="0"/>
    <x v="6"/>
    <s v="Accessories"/>
    <n v="15"/>
    <n v="14055"/>
    <x v="3"/>
    <x v="7"/>
  </r>
  <r>
    <d v="2024-05-27T00:00:00"/>
    <x v="1"/>
    <x v="5"/>
    <s v="Electronics"/>
    <n v="7"/>
    <n v="1561"/>
    <x v="0"/>
    <x v="7"/>
  </r>
  <r>
    <d v="2025-07-20T00:00:00"/>
    <x v="3"/>
    <x v="0"/>
    <s v="Office"/>
    <n v="9"/>
    <n v="5985"/>
    <x v="2"/>
    <x v="7"/>
  </r>
  <r>
    <d v="2023-04-06T00:00:00"/>
    <x v="7"/>
    <x v="8"/>
    <s v="Mobile"/>
    <n v="19"/>
    <n v="20976"/>
    <x v="1"/>
    <x v="1"/>
  </r>
  <r>
    <d v="2025-07-06T00:00:00"/>
    <x v="3"/>
    <x v="1"/>
    <s v="Accessories"/>
    <n v="13"/>
    <n v="16081"/>
    <x v="3"/>
    <x v="1"/>
  </r>
  <r>
    <d v="2025-09-23T00:00:00"/>
    <x v="4"/>
    <x v="7"/>
    <s v="Computers"/>
    <n v="18"/>
    <n v="22032"/>
    <x v="4"/>
    <x v="3"/>
  </r>
  <r>
    <d v="2023-04-27T00:00:00"/>
    <x v="7"/>
    <x v="0"/>
    <s v="Office"/>
    <n v="14"/>
    <n v="21714"/>
    <x v="0"/>
    <x v="7"/>
  </r>
  <r>
    <d v="2023-12-06T00:00:00"/>
    <x v="8"/>
    <x v="6"/>
    <s v="Accessories"/>
    <n v="6"/>
    <n v="8670"/>
    <x v="0"/>
    <x v="7"/>
  </r>
  <r>
    <d v="2024-07-09T00:00:00"/>
    <x v="3"/>
    <x v="8"/>
    <s v="Mobile"/>
    <n v="12"/>
    <n v="12288"/>
    <x v="3"/>
    <x v="6"/>
  </r>
  <r>
    <d v="2024-04-18T00:00:00"/>
    <x v="7"/>
    <x v="4"/>
    <s v="Accessories"/>
    <n v="18"/>
    <n v="30060"/>
    <x v="4"/>
    <x v="5"/>
  </r>
  <r>
    <d v="2024-12-13T00:00:00"/>
    <x v="8"/>
    <x v="6"/>
    <s v="Accessories"/>
    <n v="2"/>
    <n v="1442"/>
    <x v="2"/>
    <x v="2"/>
  </r>
  <r>
    <d v="2025-12-06T00:00:00"/>
    <x v="8"/>
    <x v="7"/>
    <s v="Computers"/>
    <n v="4"/>
    <n v="3684"/>
    <x v="0"/>
    <x v="5"/>
  </r>
  <r>
    <d v="2023-08-01T00:00:00"/>
    <x v="9"/>
    <x v="9"/>
    <s v="Wearables"/>
    <n v="1"/>
    <n v="1008"/>
    <x v="1"/>
    <x v="3"/>
  </r>
  <r>
    <d v="2023-06-07T00:00:00"/>
    <x v="2"/>
    <x v="8"/>
    <s v="Mobile"/>
    <n v="8"/>
    <n v="5728"/>
    <x v="1"/>
    <x v="2"/>
  </r>
  <r>
    <d v="2023-09-28T00:00:00"/>
    <x v="4"/>
    <x v="8"/>
    <s v="Mobile"/>
    <n v="1"/>
    <n v="218"/>
    <x v="2"/>
    <x v="7"/>
  </r>
  <r>
    <d v="2025-03-17T00:00:00"/>
    <x v="11"/>
    <x v="3"/>
    <s v="Mobile"/>
    <n v="7"/>
    <n v="651"/>
    <x v="0"/>
    <x v="7"/>
  </r>
  <r>
    <d v="2025-05-17T00:00:00"/>
    <x v="1"/>
    <x v="2"/>
    <s v="Computers"/>
    <n v="8"/>
    <n v="760"/>
    <x v="2"/>
    <x v="2"/>
  </r>
  <r>
    <d v="2024-08-31T00:00:00"/>
    <x v="9"/>
    <x v="5"/>
    <s v="Electronics"/>
    <n v="5"/>
    <n v="6835"/>
    <x v="1"/>
    <x v="7"/>
  </r>
  <r>
    <d v="2024-12-31T00:00:00"/>
    <x v="8"/>
    <x v="2"/>
    <s v="Computers"/>
    <n v="8"/>
    <n v="5208"/>
    <x v="3"/>
    <x v="0"/>
  </r>
  <r>
    <d v="2025-04-30T00:00:00"/>
    <x v="7"/>
    <x v="8"/>
    <s v="Mobile"/>
    <n v="20"/>
    <n v="14780"/>
    <x v="1"/>
    <x v="7"/>
  </r>
  <r>
    <d v="2023-10-03T00:00:00"/>
    <x v="6"/>
    <x v="2"/>
    <s v="Computers"/>
    <n v="19"/>
    <n v="24073"/>
    <x v="1"/>
    <x v="7"/>
  </r>
  <r>
    <d v="2023-11-19T00:00:00"/>
    <x v="0"/>
    <x v="0"/>
    <s v="Office"/>
    <n v="20"/>
    <n v="5580"/>
    <x v="4"/>
    <x v="2"/>
  </r>
  <r>
    <d v="2023-04-27T00:00:00"/>
    <x v="7"/>
    <x v="3"/>
    <s v="Mobile"/>
    <n v="7"/>
    <n v="5369"/>
    <x v="3"/>
    <x v="0"/>
  </r>
  <r>
    <d v="2025-07-21T00:00:00"/>
    <x v="3"/>
    <x v="7"/>
    <s v="Computers"/>
    <n v="17"/>
    <n v="28186"/>
    <x v="4"/>
    <x v="0"/>
  </r>
  <r>
    <d v="2023-03-31T00:00:00"/>
    <x v="11"/>
    <x v="0"/>
    <s v="Office"/>
    <n v="11"/>
    <n v="21439"/>
    <x v="2"/>
    <x v="4"/>
  </r>
  <r>
    <d v="2023-07-02T00:00:00"/>
    <x v="3"/>
    <x v="0"/>
    <s v="Office"/>
    <n v="14"/>
    <n v="19628"/>
    <x v="1"/>
    <x v="3"/>
  </r>
  <r>
    <d v="2023-01-01T00:00:00"/>
    <x v="5"/>
    <x v="3"/>
    <s v="Mobile"/>
    <n v="12"/>
    <n v="3984"/>
    <x v="2"/>
    <x v="4"/>
  </r>
  <r>
    <d v="2025-05-07T00:00:00"/>
    <x v="1"/>
    <x v="1"/>
    <s v="Accessories"/>
    <n v="11"/>
    <n v="10956"/>
    <x v="3"/>
    <x v="1"/>
  </r>
  <r>
    <d v="2025-12-30T00:00:00"/>
    <x v="8"/>
    <x v="7"/>
    <s v="Computers"/>
    <n v="13"/>
    <n v="7774"/>
    <x v="0"/>
    <x v="1"/>
  </r>
  <r>
    <d v="2024-01-11T00:00:00"/>
    <x v="5"/>
    <x v="1"/>
    <s v="Accessories"/>
    <n v="15"/>
    <n v="27240"/>
    <x v="3"/>
    <x v="4"/>
  </r>
  <r>
    <d v="2023-03-24T00:00:00"/>
    <x v="11"/>
    <x v="8"/>
    <s v="Mobile"/>
    <n v="15"/>
    <n v="4920"/>
    <x v="2"/>
    <x v="6"/>
  </r>
  <r>
    <d v="2023-01-14T00:00:00"/>
    <x v="5"/>
    <x v="7"/>
    <s v="Computers"/>
    <n v="1"/>
    <n v="1844"/>
    <x v="2"/>
    <x v="2"/>
  </r>
  <r>
    <d v="2025-12-29T00:00:00"/>
    <x v="8"/>
    <x v="4"/>
    <s v="Accessories"/>
    <n v="8"/>
    <n v="11024"/>
    <x v="1"/>
    <x v="6"/>
  </r>
  <r>
    <d v="2024-05-05T00:00:00"/>
    <x v="1"/>
    <x v="0"/>
    <s v="Office"/>
    <n v="12"/>
    <n v="8328"/>
    <x v="2"/>
    <x v="6"/>
  </r>
  <r>
    <d v="2024-12-18T00:00:00"/>
    <x v="8"/>
    <x v="8"/>
    <s v="Mobile"/>
    <n v="3"/>
    <n v="2193"/>
    <x v="1"/>
    <x v="2"/>
  </r>
  <r>
    <d v="2025-04-24T00:00:00"/>
    <x v="7"/>
    <x v="0"/>
    <s v="Office"/>
    <n v="18"/>
    <n v="7506"/>
    <x v="4"/>
    <x v="2"/>
  </r>
  <r>
    <d v="2024-05-06T00:00:00"/>
    <x v="1"/>
    <x v="7"/>
    <s v="Computers"/>
    <n v="3"/>
    <n v="843"/>
    <x v="1"/>
    <x v="6"/>
  </r>
  <r>
    <d v="2024-07-03T00:00:00"/>
    <x v="3"/>
    <x v="5"/>
    <s v="Electronics"/>
    <n v="3"/>
    <n v="2907"/>
    <x v="4"/>
    <x v="6"/>
  </r>
  <r>
    <d v="2024-06-05T00:00:00"/>
    <x v="2"/>
    <x v="4"/>
    <s v="Accessories"/>
    <n v="15"/>
    <n v="18825"/>
    <x v="2"/>
    <x v="4"/>
  </r>
  <r>
    <d v="2024-10-01T00:00:00"/>
    <x v="6"/>
    <x v="2"/>
    <s v="Computers"/>
    <n v="14"/>
    <n v="8218"/>
    <x v="2"/>
    <x v="3"/>
  </r>
  <r>
    <d v="2024-05-13T00:00:00"/>
    <x v="1"/>
    <x v="4"/>
    <s v="Accessories"/>
    <n v="14"/>
    <n v="14392"/>
    <x v="2"/>
    <x v="3"/>
  </r>
  <r>
    <d v="2024-08-21T00:00:00"/>
    <x v="9"/>
    <x v="3"/>
    <s v="Mobile"/>
    <n v="6"/>
    <n v="6744"/>
    <x v="2"/>
    <x v="3"/>
  </r>
  <r>
    <d v="2024-11-18T00:00:00"/>
    <x v="0"/>
    <x v="7"/>
    <s v="Computers"/>
    <n v="17"/>
    <n v="17952"/>
    <x v="4"/>
    <x v="4"/>
  </r>
  <r>
    <d v="2024-07-31T00:00:00"/>
    <x v="3"/>
    <x v="7"/>
    <s v="Computers"/>
    <n v="9"/>
    <n v="6750"/>
    <x v="0"/>
    <x v="0"/>
  </r>
  <r>
    <d v="2023-12-21T00:00:00"/>
    <x v="8"/>
    <x v="0"/>
    <s v="Office"/>
    <n v="15"/>
    <n v="20190"/>
    <x v="3"/>
    <x v="3"/>
  </r>
  <r>
    <d v="2023-02-23T00:00:00"/>
    <x v="10"/>
    <x v="7"/>
    <s v="Computers"/>
    <n v="12"/>
    <n v="5220"/>
    <x v="2"/>
    <x v="6"/>
  </r>
  <r>
    <d v="2023-09-25T00:00:00"/>
    <x v="4"/>
    <x v="7"/>
    <s v="Computers"/>
    <n v="1"/>
    <n v="367"/>
    <x v="1"/>
    <x v="5"/>
  </r>
  <r>
    <d v="2025-09-10T00:00:00"/>
    <x v="4"/>
    <x v="2"/>
    <s v="Computers"/>
    <n v="15"/>
    <n v="11340"/>
    <x v="0"/>
    <x v="7"/>
  </r>
  <r>
    <d v="2023-07-12T00:00:00"/>
    <x v="3"/>
    <x v="3"/>
    <s v="Mobile"/>
    <n v="7"/>
    <n v="11088"/>
    <x v="3"/>
    <x v="2"/>
  </r>
  <r>
    <d v="2024-10-14T00:00:00"/>
    <x v="6"/>
    <x v="5"/>
    <s v="Electronics"/>
    <n v="2"/>
    <n v="2676"/>
    <x v="4"/>
    <x v="2"/>
  </r>
  <r>
    <d v="2023-09-04T00:00:00"/>
    <x v="4"/>
    <x v="9"/>
    <s v="Wearables"/>
    <n v="18"/>
    <n v="1170"/>
    <x v="1"/>
    <x v="0"/>
  </r>
  <r>
    <d v="2024-08-04T00:00:00"/>
    <x v="9"/>
    <x v="0"/>
    <s v="Office"/>
    <n v="4"/>
    <n v="3820"/>
    <x v="0"/>
    <x v="6"/>
  </r>
  <r>
    <d v="2025-12-02T00:00:00"/>
    <x v="8"/>
    <x v="1"/>
    <s v="Accessories"/>
    <n v="15"/>
    <n v="14430"/>
    <x v="3"/>
    <x v="2"/>
  </r>
  <r>
    <d v="2024-10-09T00:00:00"/>
    <x v="6"/>
    <x v="8"/>
    <s v="Mobile"/>
    <n v="16"/>
    <n v="17552"/>
    <x v="1"/>
    <x v="2"/>
  </r>
  <r>
    <d v="2024-09-26T00:00:00"/>
    <x v="4"/>
    <x v="3"/>
    <s v="Mobile"/>
    <n v="12"/>
    <n v="13680"/>
    <x v="2"/>
    <x v="1"/>
  </r>
  <r>
    <d v="2023-12-18T00:00:00"/>
    <x v="8"/>
    <x v="0"/>
    <s v="Office"/>
    <n v="15"/>
    <n v="3255"/>
    <x v="4"/>
    <x v="2"/>
  </r>
  <r>
    <d v="2025-06-26T00:00:00"/>
    <x v="2"/>
    <x v="6"/>
    <s v="Accessories"/>
    <n v="17"/>
    <n v="33592"/>
    <x v="4"/>
    <x v="0"/>
  </r>
  <r>
    <d v="2024-05-21T00:00:00"/>
    <x v="1"/>
    <x v="3"/>
    <s v="Mobile"/>
    <n v="15"/>
    <n v="4275"/>
    <x v="2"/>
    <x v="4"/>
  </r>
  <r>
    <d v="2023-10-28T00:00:00"/>
    <x v="6"/>
    <x v="0"/>
    <s v="Office"/>
    <n v="3"/>
    <n v="3819"/>
    <x v="1"/>
    <x v="7"/>
  </r>
  <r>
    <d v="2025-06-27T00:00:00"/>
    <x v="2"/>
    <x v="9"/>
    <s v="Wearables"/>
    <n v="20"/>
    <n v="7440"/>
    <x v="4"/>
    <x v="0"/>
  </r>
  <r>
    <d v="2024-01-23T00:00:00"/>
    <x v="5"/>
    <x v="7"/>
    <s v="Computers"/>
    <n v="14"/>
    <n v="6104"/>
    <x v="4"/>
    <x v="1"/>
  </r>
  <r>
    <d v="2024-06-25T00:00:00"/>
    <x v="2"/>
    <x v="8"/>
    <s v="Mobile"/>
    <n v="19"/>
    <n v="36119"/>
    <x v="3"/>
    <x v="1"/>
  </r>
  <r>
    <d v="2025-01-16T00:00:00"/>
    <x v="5"/>
    <x v="5"/>
    <s v="Electronics"/>
    <n v="14"/>
    <n v="5348"/>
    <x v="4"/>
    <x v="2"/>
  </r>
  <r>
    <d v="2024-01-06T00:00:00"/>
    <x v="5"/>
    <x v="8"/>
    <s v="Mobile"/>
    <n v="16"/>
    <n v="15136"/>
    <x v="2"/>
    <x v="5"/>
  </r>
  <r>
    <d v="2023-12-02T00:00:00"/>
    <x v="8"/>
    <x v="2"/>
    <s v="Computers"/>
    <n v="11"/>
    <n v="21626"/>
    <x v="3"/>
    <x v="6"/>
  </r>
  <r>
    <d v="2023-01-13T00:00:00"/>
    <x v="5"/>
    <x v="9"/>
    <s v="Wearables"/>
    <n v="1"/>
    <n v="333"/>
    <x v="2"/>
    <x v="1"/>
  </r>
  <r>
    <d v="2025-06-28T00:00:00"/>
    <x v="2"/>
    <x v="0"/>
    <s v="Office"/>
    <n v="12"/>
    <n v="11736"/>
    <x v="4"/>
    <x v="7"/>
  </r>
  <r>
    <d v="2024-09-06T00:00:00"/>
    <x v="4"/>
    <x v="0"/>
    <s v="Office"/>
    <n v="14"/>
    <n v="18326"/>
    <x v="2"/>
    <x v="1"/>
  </r>
  <r>
    <d v="2023-04-30T00:00:00"/>
    <x v="7"/>
    <x v="2"/>
    <s v="Computers"/>
    <n v="14"/>
    <n v="25270"/>
    <x v="4"/>
    <x v="0"/>
  </r>
  <r>
    <d v="2024-03-27T00:00:00"/>
    <x v="11"/>
    <x v="4"/>
    <s v="Accessories"/>
    <n v="20"/>
    <n v="24340"/>
    <x v="0"/>
    <x v="0"/>
  </r>
  <r>
    <d v="2024-12-12T00:00:00"/>
    <x v="8"/>
    <x v="3"/>
    <s v="Mobile"/>
    <n v="15"/>
    <n v="27120"/>
    <x v="3"/>
    <x v="6"/>
  </r>
  <r>
    <d v="2025-09-19T00:00:00"/>
    <x v="4"/>
    <x v="7"/>
    <s v="Computers"/>
    <n v="20"/>
    <n v="27880"/>
    <x v="4"/>
    <x v="5"/>
  </r>
  <r>
    <d v="2025-04-16T00:00:00"/>
    <x v="7"/>
    <x v="5"/>
    <s v="Electronics"/>
    <n v="19"/>
    <n v="27037"/>
    <x v="0"/>
    <x v="2"/>
  </r>
  <r>
    <d v="2024-02-05T00:00:00"/>
    <x v="10"/>
    <x v="0"/>
    <s v="Office"/>
    <n v="6"/>
    <n v="1026"/>
    <x v="4"/>
    <x v="0"/>
  </r>
  <r>
    <d v="2024-09-24T00:00:00"/>
    <x v="4"/>
    <x v="7"/>
    <s v="Computers"/>
    <n v="9"/>
    <n v="13698"/>
    <x v="3"/>
    <x v="5"/>
  </r>
  <r>
    <d v="2024-11-10T00:00:00"/>
    <x v="0"/>
    <x v="9"/>
    <s v="Wearables"/>
    <n v="13"/>
    <n v="1612"/>
    <x v="0"/>
    <x v="3"/>
  </r>
  <r>
    <d v="2024-08-14T00:00:00"/>
    <x v="9"/>
    <x v="9"/>
    <s v="Wearables"/>
    <n v="16"/>
    <n v="23152"/>
    <x v="1"/>
    <x v="4"/>
  </r>
  <r>
    <d v="2023-05-15T00:00:00"/>
    <x v="1"/>
    <x v="1"/>
    <s v="Accessories"/>
    <n v="17"/>
    <n v="27897"/>
    <x v="4"/>
    <x v="2"/>
  </r>
  <r>
    <d v="2024-06-11T00:00:00"/>
    <x v="2"/>
    <x v="0"/>
    <s v="Office"/>
    <n v="14"/>
    <n v="16366"/>
    <x v="4"/>
    <x v="7"/>
  </r>
  <r>
    <d v="2023-07-03T00:00:00"/>
    <x v="3"/>
    <x v="7"/>
    <s v="Computers"/>
    <n v="7"/>
    <n v="3640"/>
    <x v="1"/>
    <x v="7"/>
  </r>
  <r>
    <d v="2023-10-03T00:00:00"/>
    <x v="6"/>
    <x v="3"/>
    <s v="Mobile"/>
    <n v="5"/>
    <n v="435"/>
    <x v="3"/>
    <x v="3"/>
  </r>
  <r>
    <d v="2023-06-27T00:00:00"/>
    <x v="2"/>
    <x v="9"/>
    <s v="Wearables"/>
    <n v="2"/>
    <n v="270"/>
    <x v="4"/>
    <x v="2"/>
  </r>
  <r>
    <d v="2023-11-13T00:00:00"/>
    <x v="0"/>
    <x v="6"/>
    <s v="Accessories"/>
    <n v="14"/>
    <n v="1778"/>
    <x v="2"/>
    <x v="0"/>
  </r>
  <r>
    <d v="2025-03-25T00:00:00"/>
    <x v="11"/>
    <x v="8"/>
    <s v="Mobile"/>
    <n v="4"/>
    <n v="1788"/>
    <x v="1"/>
    <x v="2"/>
  </r>
  <r>
    <d v="2025-08-01T00:00:00"/>
    <x v="9"/>
    <x v="0"/>
    <s v="Office"/>
    <n v="13"/>
    <n v="9451"/>
    <x v="0"/>
    <x v="3"/>
  </r>
  <r>
    <d v="2023-05-14T00:00:00"/>
    <x v="1"/>
    <x v="9"/>
    <s v="Wearables"/>
    <n v="4"/>
    <n v="4400"/>
    <x v="2"/>
    <x v="6"/>
  </r>
  <r>
    <d v="2025-03-21T00:00:00"/>
    <x v="11"/>
    <x v="0"/>
    <s v="Office"/>
    <n v="5"/>
    <n v="3735"/>
    <x v="2"/>
    <x v="5"/>
  </r>
  <r>
    <d v="2023-06-27T00:00:00"/>
    <x v="2"/>
    <x v="7"/>
    <s v="Computers"/>
    <n v="13"/>
    <n v="2522"/>
    <x v="3"/>
    <x v="5"/>
  </r>
  <r>
    <d v="2023-04-24T00:00:00"/>
    <x v="7"/>
    <x v="8"/>
    <s v="Mobile"/>
    <n v="9"/>
    <n v="15984"/>
    <x v="2"/>
    <x v="5"/>
  </r>
  <r>
    <d v="2024-10-29T00:00:00"/>
    <x v="6"/>
    <x v="1"/>
    <s v="Accessories"/>
    <n v="6"/>
    <n v="5916"/>
    <x v="3"/>
    <x v="4"/>
  </r>
  <r>
    <d v="2024-05-25T00:00:00"/>
    <x v="1"/>
    <x v="4"/>
    <s v="Accessories"/>
    <n v="16"/>
    <n v="28336"/>
    <x v="3"/>
    <x v="7"/>
  </r>
  <r>
    <d v="2023-06-05T00:00:00"/>
    <x v="2"/>
    <x v="9"/>
    <s v="Wearables"/>
    <n v="8"/>
    <n v="5336"/>
    <x v="4"/>
    <x v="0"/>
  </r>
  <r>
    <d v="2024-11-02T00:00:00"/>
    <x v="0"/>
    <x v="2"/>
    <s v="Computers"/>
    <n v="9"/>
    <n v="3024"/>
    <x v="2"/>
    <x v="5"/>
  </r>
  <r>
    <d v="2025-01-14T00:00:00"/>
    <x v="5"/>
    <x v="1"/>
    <s v="Accessories"/>
    <n v="19"/>
    <n v="17518"/>
    <x v="3"/>
    <x v="1"/>
  </r>
  <r>
    <d v="2024-03-26T00:00:00"/>
    <x v="11"/>
    <x v="5"/>
    <s v="Electronics"/>
    <n v="5"/>
    <n v="6295"/>
    <x v="4"/>
    <x v="2"/>
  </r>
  <r>
    <d v="2024-05-03T00:00:00"/>
    <x v="1"/>
    <x v="4"/>
    <s v="Accessories"/>
    <n v="12"/>
    <n v="13464"/>
    <x v="4"/>
    <x v="7"/>
  </r>
  <r>
    <d v="2025-10-03T00:00:00"/>
    <x v="6"/>
    <x v="7"/>
    <s v="Computers"/>
    <n v="4"/>
    <n v="4576"/>
    <x v="0"/>
    <x v="7"/>
  </r>
  <r>
    <d v="2025-09-29T00:00:00"/>
    <x v="4"/>
    <x v="2"/>
    <s v="Computers"/>
    <n v="2"/>
    <n v="1494"/>
    <x v="1"/>
    <x v="4"/>
  </r>
  <r>
    <d v="2025-01-25T00:00:00"/>
    <x v="5"/>
    <x v="1"/>
    <s v="Accessories"/>
    <n v="19"/>
    <n v="30628"/>
    <x v="3"/>
    <x v="7"/>
  </r>
  <r>
    <d v="2025-11-23T00:00:00"/>
    <x v="0"/>
    <x v="9"/>
    <s v="Wearables"/>
    <n v="6"/>
    <n v="6510"/>
    <x v="1"/>
    <x v="4"/>
  </r>
  <r>
    <d v="2023-08-23T00:00:00"/>
    <x v="9"/>
    <x v="2"/>
    <s v="Computers"/>
    <n v="8"/>
    <n v="2936"/>
    <x v="2"/>
    <x v="0"/>
  </r>
  <r>
    <d v="2025-10-27T00:00:00"/>
    <x v="6"/>
    <x v="2"/>
    <s v="Computers"/>
    <n v="12"/>
    <n v="14328"/>
    <x v="2"/>
    <x v="1"/>
  </r>
  <r>
    <d v="2024-08-25T00:00:00"/>
    <x v="9"/>
    <x v="0"/>
    <s v="Office"/>
    <n v="9"/>
    <n v="14814"/>
    <x v="1"/>
    <x v="6"/>
  </r>
  <r>
    <d v="2025-06-17T00:00:00"/>
    <x v="2"/>
    <x v="9"/>
    <s v="Wearables"/>
    <n v="10"/>
    <n v="10290"/>
    <x v="4"/>
    <x v="5"/>
  </r>
  <r>
    <d v="2023-06-22T00:00:00"/>
    <x v="2"/>
    <x v="7"/>
    <s v="Computers"/>
    <n v="13"/>
    <n v="20592"/>
    <x v="2"/>
    <x v="2"/>
  </r>
  <r>
    <d v="2025-03-18T00:00:00"/>
    <x v="11"/>
    <x v="3"/>
    <s v="Mobile"/>
    <n v="17"/>
    <n v="10540"/>
    <x v="4"/>
    <x v="0"/>
  </r>
  <r>
    <d v="2023-10-21T00:00:00"/>
    <x v="6"/>
    <x v="9"/>
    <s v="Wearables"/>
    <n v="18"/>
    <n v="4734"/>
    <x v="1"/>
    <x v="5"/>
  </r>
  <r>
    <d v="2024-09-24T00:00:00"/>
    <x v="4"/>
    <x v="8"/>
    <s v="Mobile"/>
    <n v="5"/>
    <n v="5420"/>
    <x v="1"/>
    <x v="7"/>
  </r>
  <r>
    <d v="2023-01-09T00:00:00"/>
    <x v="5"/>
    <x v="3"/>
    <s v="Mobile"/>
    <n v="8"/>
    <n v="14688"/>
    <x v="0"/>
    <x v="7"/>
  </r>
  <r>
    <d v="2024-09-02T00:00:00"/>
    <x v="4"/>
    <x v="5"/>
    <s v="Electronics"/>
    <n v="15"/>
    <n v="14625"/>
    <x v="1"/>
    <x v="7"/>
  </r>
  <r>
    <d v="2023-08-27T00:00:00"/>
    <x v="9"/>
    <x v="1"/>
    <s v="Accessories"/>
    <n v="6"/>
    <n v="10524"/>
    <x v="4"/>
    <x v="4"/>
  </r>
  <r>
    <d v="2024-03-16T00:00:00"/>
    <x v="11"/>
    <x v="5"/>
    <s v="Electronics"/>
    <n v="19"/>
    <n v="18601"/>
    <x v="2"/>
    <x v="1"/>
  </r>
  <r>
    <d v="2025-07-26T00:00:00"/>
    <x v="3"/>
    <x v="0"/>
    <s v="Office"/>
    <n v="17"/>
    <n v="24497"/>
    <x v="1"/>
    <x v="7"/>
  </r>
  <r>
    <d v="2025-02-17T00:00:00"/>
    <x v="10"/>
    <x v="3"/>
    <s v="Mobile"/>
    <n v="3"/>
    <n v="939"/>
    <x v="3"/>
    <x v="6"/>
  </r>
  <r>
    <d v="2024-08-19T00:00:00"/>
    <x v="9"/>
    <x v="1"/>
    <s v="Accessories"/>
    <n v="20"/>
    <n v="11040"/>
    <x v="1"/>
    <x v="3"/>
  </r>
  <r>
    <d v="2023-02-03T00:00:00"/>
    <x v="10"/>
    <x v="1"/>
    <s v="Accessories"/>
    <n v="6"/>
    <n v="9582"/>
    <x v="2"/>
    <x v="1"/>
  </r>
  <r>
    <d v="2024-10-30T00:00:00"/>
    <x v="6"/>
    <x v="1"/>
    <s v="Accessories"/>
    <n v="18"/>
    <n v="28386"/>
    <x v="2"/>
    <x v="7"/>
  </r>
  <r>
    <d v="2024-06-07T00:00:00"/>
    <x v="2"/>
    <x v="8"/>
    <s v="Mobile"/>
    <n v="3"/>
    <n v="2487"/>
    <x v="0"/>
    <x v="6"/>
  </r>
  <r>
    <d v="2024-01-24T00:00:00"/>
    <x v="5"/>
    <x v="4"/>
    <s v="Accessories"/>
    <n v="15"/>
    <n v="26895"/>
    <x v="2"/>
    <x v="5"/>
  </r>
  <r>
    <d v="2025-05-22T00:00:00"/>
    <x v="1"/>
    <x v="1"/>
    <s v="Accessories"/>
    <n v="17"/>
    <n v="9622"/>
    <x v="3"/>
    <x v="1"/>
  </r>
  <r>
    <d v="2024-09-29T00:00:00"/>
    <x v="4"/>
    <x v="9"/>
    <s v="Wearables"/>
    <n v="13"/>
    <n v="20319"/>
    <x v="2"/>
    <x v="3"/>
  </r>
  <r>
    <d v="2023-06-20T00:00:00"/>
    <x v="2"/>
    <x v="8"/>
    <s v="Mobile"/>
    <n v="18"/>
    <n v="25722"/>
    <x v="3"/>
    <x v="4"/>
  </r>
  <r>
    <d v="2024-01-27T00:00:00"/>
    <x v="5"/>
    <x v="2"/>
    <s v="Computers"/>
    <n v="2"/>
    <n v="2612"/>
    <x v="2"/>
    <x v="7"/>
  </r>
  <r>
    <d v="2024-01-21T00:00:00"/>
    <x v="5"/>
    <x v="9"/>
    <s v="Wearables"/>
    <n v="5"/>
    <n v="8400"/>
    <x v="3"/>
    <x v="3"/>
  </r>
  <r>
    <d v="2025-05-20T00:00:00"/>
    <x v="1"/>
    <x v="5"/>
    <s v="Electronics"/>
    <n v="10"/>
    <n v="15050"/>
    <x v="0"/>
    <x v="0"/>
  </r>
  <r>
    <d v="2025-06-12T00:00:00"/>
    <x v="2"/>
    <x v="5"/>
    <s v="Electronics"/>
    <n v="17"/>
    <n v="1411"/>
    <x v="0"/>
    <x v="0"/>
  </r>
  <r>
    <d v="2023-06-08T00:00:00"/>
    <x v="2"/>
    <x v="3"/>
    <s v="Mobile"/>
    <n v="3"/>
    <n v="1188"/>
    <x v="3"/>
    <x v="3"/>
  </r>
  <r>
    <d v="2025-03-24T00:00:00"/>
    <x v="11"/>
    <x v="2"/>
    <s v="Computers"/>
    <n v="14"/>
    <n v="18634"/>
    <x v="4"/>
    <x v="4"/>
  </r>
  <r>
    <d v="2025-03-07T00:00:00"/>
    <x v="11"/>
    <x v="4"/>
    <s v="Accessories"/>
    <n v="9"/>
    <n v="3339"/>
    <x v="2"/>
    <x v="2"/>
  </r>
  <r>
    <d v="2023-09-21T00:00:00"/>
    <x v="4"/>
    <x v="4"/>
    <s v="Accessories"/>
    <n v="8"/>
    <n v="6112"/>
    <x v="3"/>
    <x v="3"/>
  </r>
  <r>
    <d v="2024-08-04T00:00:00"/>
    <x v="9"/>
    <x v="6"/>
    <s v="Accessories"/>
    <n v="19"/>
    <n v="20102"/>
    <x v="3"/>
    <x v="1"/>
  </r>
  <r>
    <d v="2023-08-28T00:00:00"/>
    <x v="9"/>
    <x v="4"/>
    <s v="Accessories"/>
    <n v="14"/>
    <n v="13342"/>
    <x v="4"/>
    <x v="0"/>
  </r>
  <r>
    <d v="2025-06-21T00:00:00"/>
    <x v="2"/>
    <x v="3"/>
    <s v="Mobile"/>
    <n v="12"/>
    <n v="14772"/>
    <x v="3"/>
    <x v="2"/>
  </r>
  <r>
    <d v="2023-04-02T00:00:00"/>
    <x v="7"/>
    <x v="6"/>
    <s v="Accessories"/>
    <n v="4"/>
    <n v="1736"/>
    <x v="0"/>
    <x v="3"/>
  </r>
  <r>
    <d v="2025-02-06T00:00:00"/>
    <x v="10"/>
    <x v="6"/>
    <s v="Accessories"/>
    <n v="6"/>
    <n v="4452"/>
    <x v="2"/>
    <x v="3"/>
  </r>
  <r>
    <d v="2023-07-20T00:00:00"/>
    <x v="3"/>
    <x v="5"/>
    <s v="Electronics"/>
    <n v="5"/>
    <n v="2325"/>
    <x v="2"/>
    <x v="1"/>
  </r>
  <r>
    <d v="2024-11-09T00:00:00"/>
    <x v="0"/>
    <x v="5"/>
    <s v="Electronics"/>
    <n v="3"/>
    <n v="3789"/>
    <x v="3"/>
    <x v="0"/>
  </r>
  <r>
    <d v="2025-01-31T00:00:00"/>
    <x v="5"/>
    <x v="7"/>
    <s v="Computers"/>
    <n v="14"/>
    <n v="12684"/>
    <x v="0"/>
    <x v="0"/>
  </r>
  <r>
    <d v="2025-08-02T00:00:00"/>
    <x v="9"/>
    <x v="8"/>
    <s v="Mobile"/>
    <n v="7"/>
    <n v="9954"/>
    <x v="1"/>
    <x v="4"/>
  </r>
  <r>
    <d v="2023-05-18T00:00:00"/>
    <x v="1"/>
    <x v="4"/>
    <s v="Accessories"/>
    <n v="11"/>
    <n v="2134"/>
    <x v="2"/>
    <x v="3"/>
  </r>
  <r>
    <d v="2024-06-15T00:00:00"/>
    <x v="2"/>
    <x v="0"/>
    <s v="Office"/>
    <n v="16"/>
    <n v="17920"/>
    <x v="4"/>
    <x v="1"/>
  </r>
  <r>
    <d v="2024-09-24T00:00:00"/>
    <x v="4"/>
    <x v="7"/>
    <s v="Computers"/>
    <n v="3"/>
    <n v="5541"/>
    <x v="0"/>
    <x v="2"/>
  </r>
  <r>
    <d v="2023-10-08T00:00:00"/>
    <x v="6"/>
    <x v="6"/>
    <s v="Accessories"/>
    <n v="8"/>
    <n v="4504"/>
    <x v="1"/>
    <x v="4"/>
  </r>
  <r>
    <d v="2023-02-13T00:00:00"/>
    <x v="10"/>
    <x v="1"/>
    <s v="Accessories"/>
    <n v="2"/>
    <n v="2878"/>
    <x v="0"/>
    <x v="3"/>
  </r>
  <r>
    <d v="2023-01-18T00:00:00"/>
    <x v="5"/>
    <x v="7"/>
    <s v="Computers"/>
    <n v="7"/>
    <n v="4417"/>
    <x v="2"/>
    <x v="6"/>
  </r>
  <r>
    <d v="2024-10-28T00:00:00"/>
    <x v="6"/>
    <x v="3"/>
    <s v="Mobile"/>
    <n v="2"/>
    <n v="2586"/>
    <x v="0"/>
    <x v="6"/>
  </r>
  <r>
    <d v="2023-06-27T00:00:00"/>
    <x v="2"/>
    <x v="2"/>
    <s v="Computers"/>
    <n v="9"/>
    <n v="9468"/>
    <x v="4"/>
    <x v="7"/>
  </r>
  <r>
    <d v="2024-04-29T00:00:00"/>
    <x v="7"/>
    <x v="7"/>
    <s v="Computers"/>
    <n v="15"/>
    <n v="10680"/>
    <x v="4"/>
    <x v="7"/>
  </r>
  <r>
    <d v="2025-03-11T00:00:00"/>
    <x v="11"/>
    <x v="6"/>
    <s v="Accessories"/>
    <n v="18"/>
    <n v="31950"/>
    <x v="4"/>
    <x v="4"/>
  </r>
  <r>
    <d v="2024-06-05T00:00:00"/>
    <x v="2"/>
    <x v="7"/>
    <s v="Computers"/>
    <n v="14"/>
    <n v="12292"/>
    <x v="0"/>
    <x v="2"/>
  </r>
  <r>
    <d v="2025-02-02T00:00:00"/>
    <x v="10"/>
    <x v="8"/>
    <s v="Mobile"/>
    <n v="4"/>
    <n v="4924"/>
    <x v="1"/>
    <x v="4"/>
  </r>
  <r>
    <d v="2023-07-23T00:00:00"/>
    <x v="3"/>
    <x v="4"/>
    <s v="Accessories"/>
    <n v="15"/>
    <n v="25335"/>
    <x v="2"/>
    <x v="6"/>
  </r>
  <r>
    <d v="2025-05-27T00:00:00"/>
    <x v="1"/>
    <x v="6"/>
    <s v="Accessories"/>
    <n v="9"/>
    <n v="16002"/>
    <x v="4"/>
    <x v="6"/>
  </r>
  <r>
    <d v="2024-01-25T00:00:00"/>
    <x v="5"/>
    <x v="0"/>
    <s v="Office"/>
    <n v="13"/>
    <n v="14118"/>
    <x v="1"/>
    <x v="5"/>
  </r>
  <r>
    <d v="2024-09-27T00:00:00"/>
    <x v="4"/>
    <x v="2"/>
    <s v="Computers"/>
    <n v="6"/>
    <n v="6072"/>
    <x v="3"/>
    <x v="4"/>
  </r>
  <r>
    <d v="2023-06-08T00:00:00"/>
    <x v="2"/>
    <x v="6"/>
    <s v="Accessories"/>
    <n v="4"/>
    <n v="3592"/>
    <x v="4"/>
    <x v="6"/>
  </r>
  <r>
    <d v="2024-07-18T00:00:00"/>
    <x v="3"/>
    <x v="9"/>
    <s v="Wearables"/>
    <n v="6"/>
    <n v="2766"/>
    <x v="0"/>
    <x v="3"/>
  </r>
  <r>
    <d v="2025-01-08T00:00:00"/>
    <x v="5"/>
    <x v="2"/>
    <s v="Computers"/>
    <n v="11"/>
    <n v="17897"/>
    <x v="3"/>
    <x v="7"/>
  </r>
  <r>
    <d v="2023-03-06T00:00:00"/>
    <x v="11"/>
    <x v="5"/>
    <s v="Electronics"/>
    <n v="6"/>
    <n v="11934"/>
    <x v="2"/>
    <x v="6"/>
  </r>
  <r>
    <d v="2025-03-20T00:00:00"/>
    <x v="11"/>
    <x v="8"/>
    <s v="Mobile"/>
    <n v="4"/>
    <n v="3432"/>
    <x v="3"/>
    <x v="2"/>
  </r>
  <r>
    <d v="2023-02-04T00:00:00"/>
    <x v="10"/>
    <x v="9"/>
    <s v="Wearables"/>
    <n v="10"/>
    <n v="12470"/>
    <x v="0"/>
    <x v="0"/>
  </r>
  <r>
    <d v="2024-01-22T00:00:00"/>
    <x v="5"/>
    <x v="7"/>
    <s v="Computers"/>
    <n v="20"/>
    <n v="19580"/>
    <x v="4"/>
    <x v="5"/>
  </r>
  <r>
    <d v="2024-07-19T00:00:00"/>
    <x v="3"/>
    <x v="7"/>
    <s v="Computers"/>
    <n v="2"/>
    <n v="1122"/>
    <x v="1"/>
    <x v="1"/>
  </r>
  <r>
    <d v="2025-01-05T00:00:00"/>
    <x v="5"/>
    <x v="5"/>
    <s v="Electronics"/>
    <n v="12"/>
    <n v="6672"/>
    <x v="1"/>
    <x v="5"/>
  </r>
  <r>
    <d v="2025-05-16T00:00:00"/>
    <x v="1"/>
    <x v="9"/>
    <s v="Wearables"/>
    <n v="11"/>
    <n v="8107"/>
    <x v="0"/>
    <x v="3"/>
  </r>
  <r>
    <d v="2025-04-24T00:00:00"/>
    <x v="7"/>
    <x v="7"/>
    <s v="Computers"/>
    <n v="10"/>
    <n v="19160"/>
    <x v="4"/>
    <x v="0"/>
  </r>
  <r>
    <d v="2025-03-12T00:00:00"/>
    <x v="11"/>
    <x v="0"/>
    <s v="Office"/>
    <n v="14"/>
    <n v="4270"/>
    <x v="4"/>
    <x v="5"/>
  </r>
  <r>
    <d v="2023-03-29T00:00:00"/>
    <x v="11"/>
    <x v="8"/>
    <s v="Mobile"/>
    <n v="13"/>
    <n v="1365"/>
    <x v="1"/>
    <x v="6"/>
  </r>
  <r>
    <d v="2024-05-11T00:00:00"/>
    <x v="1"/>
    <x v="5"/>
    <s v="Electronics"/>
    <n v="12"/>
    <n v="2328"/>
    <x v="3"/>
    <x v="7"/>
  </r>
  <r>
    <d v="2023-04-02T00:00:00"/>
    <x v="7"/>
    <x v="1"/>
    <s v="Accessories"/>
    <n v="4"/>
    <n v="5348"/>
    <x v="1"/>
    <x v="3"/>
  </r>
  <r>
    <d v="2023-06-23T00:00:00"/>
    <x v="2"/>
    <x v="8"/>
    <s v="Mobile"/>
    <n v="15"/>
    <n v="24855"/>
    <x v="4"/>
    <x v="7"/>
  </r>
  <r>
    <d v="2025-12-17T00:00:00"/>
    <x v="8"/>
    <x v="2"/>
    <s v="Computers"/>
    <n v="10"/>
    <n v="11310"/>
    <x v="3"/>
    <x v="4"/>
  </r>
  <r>
    <d v="2023-04-29T00:00:00"/>
    <x v="7"/>
    <x v="6"/>
    <s v="Accessories"/>
    <n v="6"/>
    <n v="4512"/>
    <x v="3"/>
    <x v="5"/>
  </r>
  <r>
    <d v="2025-10-12T00:00:00"/>
    <x v="6"/>
    <x v="2"/>
    <s v="Computers"/>
    <n v="1"/>
    <n v="652"/>
    <x v="0"/>
    <x v="0"/>
  </r>
  <r>
    <d v="2024-09-23T00:00:00"/>
    <x v="4"/>
    <x v="9"/>
    <s v="Wearables"/>
    <n v="17"/>
    <n v="32980"/>
    <x v="0"/>
    <x v="0"/>
  </r>
  <r>
    <d v="2023-01-04T00:00:00"/>
    <x v="5"/>
    <x v="0"/>
    <s v="Office"/>
    <n v="12"/>
    <n v="13692"/>
    <x v="4"/>
    <x v="7"/>
  </r>
  <r>
    <d v="2024-12-12T00:00:00"/>
    <x v="8"/>
    <x v="1"/>
    <s v="Accessories"/>
    <n v="8"/>
    <n v="12440"/>
    <x v="3"/>
    <x v="4"/>
  </r>
  <r>
    <d v="2024-02-27T00:00:00"/>
    <x v="10"/>
    <x v="3"/>
    <s v="Mobile"/>
    <n v="4"/>
    <n v="4452"/>
    <x v="0"/>
    <x v="0"/>
  </r>
  <r>
    <d v="2024-01-13T00:00:00"/>
    <x v="5"/>
    <x v="9"/>
    <s v="Wearables"/>
    <n v="1"/>
    <n v="1110"/>
    <x v="4"/>
    <x v="7"/>
  </r>
  <r>
    <d v="2025-05-31T00:00:00"/>
    <x v="1"/>
    <x v="3"/>
    <s v="Mobile"/>
    <n v="1"/>
    <n v="1424"/>
    <x v="1"/>
    <x v="0"/>
  </r>
  <r>
    <d v="2024-05-24T00:00:00"/>
    <x v="1"/>
    <x v="8"/>
    <s v="Mobile"/>
    <n v="2"/>
    <n v="542"/>
    <x v="4"/>
    <x v="3"/>
  </r>
  <r>
    <d v="2023-09-27T00:00:00"/>
    <x v="4"/>
    <x v="8"/>
    <s v="Mobile"/>
    <n v="3"/>
    <n v="3258"/>
    <x v="1"/>
    <x v="0"/>
  </r>
  <r>
    <d v="2023-01-11T00:00:00"/>
    <x v="5"/>
    <x v="4"/>
    <s v="Accessories"/>
    <n v="14"/>
    <n v="10234"/>
    <x v="0"/>
    <x v="4"/>
  </r>
  <r>
    <d v="2023-09-23T00:00:00"/>
    <x v="4"/>
    <x v="9"/>
    <s v="Wearables"/>
    <n v="13"/>
    <n v="22113"/>
    <x v="0"/>
    <x v="2"/>
  </r>
  <r>
    <d v="2023-09-11T00:00:00"/>
    <x v="4"/>
    <x v="2"/>
    <s v="Computers"/>
    <n v="20"/>
    <n v="37840"/>
    <x v="3"/>
    <x v="6"/>
  </r>
  <r>
    <d v="2023-08-03T00:00:00"/>
    <x v="9"/>
    <x v="7"/>
    <s v="Computers"/>
    <n v="19"/>
    <n v="9557"/>
    <x v="4"/>
    <x v="2"/>
  </r>
  <r>
    <d v="2024-03-15T00:00:00"/>
    <x v="11"/>
    <x v="5"/>
    <s v="Electronics"/>
    <n v="13"/>
    <n v="24193"/>
    <x v="4"/>
    <x v="7"/>
  </r>
  <r>
    <d v="2025-03-04T00:00:00"/>
    <x v="11"/>
    <x v="9"/>
    <s v="Wearables"/>
    <n v="3"/>
    <n v="2172"/>
    <x v="3"/>
    <x v="3"/>
  </r>
  <r>
    <d v="2025-07-13T00:00:00"/>
    <x v="3"/>
    <x v="8"/>
    <s v="Mobile"/>
    <n v="1"/>
    <n v="1919"/>
    <x v="2"/>
    <x v="0"/>
  </r>
  <r>
    <d v="2023-04-17T00:00:00"/>
    <x v="7"/>
    <x v="9"/>
    <s v="Wearables"/>
    <n v="14"/>
    <n v="11466"/>
    <x v="2"/>
    <x v="6"/>
  </r>
  <r>
    <d v="2023-12-18T00:00:00"/>
    <x v="8"/>
    <x v="3"/>
    <s v="Mobile"/>
    <n v="12"/>
    <n v="3912"/>
    <x v="2"/>
    <x v="6"/>
  </r>
  <r>
    <d v="2025-01-07T00:00:00"/>
    <x v="5"/>
    <x v="5"/>
    <s v="Electronics"/>
    <n v="4"/>
    <n v="6104"/>
    <x v="4"/>
    <x v="7"/>
  </r>
  <r>
    <d v="2024-05-14T00:00:00"/>
    <x v="1"/>
    <x v="7"/>
    <s v="Computers"/>
    <n v="6"/>
    <n v="9216"/>
    <x v="3"/>
    <x v="2"/>
  </r>
  <r>
    <d v="2024-08-16T00:00:00"/>
    <x v="9"/>
    <x v="9"/>
    <s v="Wearables"/>
    <n v="17"/>
    <n v="31926"/>
    <x v="3"/>
    <x v="4"/>
  </r>
  <r>
    <d v="2023-12-31T00:00:00"/>
    <x v="8"/>
    <x v="7"/>
    <s v="Computers"/>
    <n v="3"/>
    <n v="3258"/>
    <x v="4"/>
    <x v="2"/>
  </r>
  <r>
    <d v="2025-12-28T00:00:00"/>
    <x v="8"/>
    <x v="3"/>
    <s v="Mobile"/>
    <n v="13"/>
    <n v="11583"/>
    <x v="4"/>
    <x v="1"/>
  </r>
  <r>
    <d v="2024-10-02T00:00:00"/>
    <x v="6"/>
    <x v="0"/>
    <s v="Office"/>
    <n v="4"/>
    <n v="4420"/>
    <x v="3"/>
    <x v="6"/>
  </r>
  <r>
    <d v="2023-12-31T00:00:00"/>
    <x v="8"/>
    <x v="8"/>
    <s v="Mobile"/>
    <n v="4"/>
    <n v="3792"/>
    <x v="1"/>
    <x v="4"/>
  </r>
  <r>
    <d v="2023-09-03T00:00:00"/>
    <x v="4"/>
    <x v="5"/>
    <s v="Electronics"/>
    <n v="20"/>
    <n v="25020"/>
    <x v="2"/>
    <x v="5"/>
  </r>
  <r>
    <d v="2025-04-29T00:00:00"/>
    <x v="7"/>
    <x v="5"/>
    <s v="Electronics"/>
    <n v="5"/>
    <n v="280"/>
    <x v="0"/>
    <x v="3"/>
  </r>
  <r>
    <d v="2025-08-29T00:00:00"/>
    <x v="9"/>
    <x v="1"/>
    <s v="Accessories"/>
    <n v="12"/>
    <n v="18204"/>
    <x v="1"/>
    <x v="2"/>
  </r>
  <r>
    <d v="2024-07-27T00:00:00"/>
    <x v="3"/>
    <x v="8"/>
    <s v="Mobile"/>
    <n v="18"/>
    <n v="27846"/>
    <x v="1"/>
    <x v="7"/>
  </r>
  <r>
    <d v="2023-12-24T00:00:00"/>
    <x v="8"/>
    <x v="2"/>
    <s v="Computers"/>
    <n v="2"/>
    <n v="3328"/>
    <x v="2"/>
    <x v="4"/>
  </r>
  <r>
    <d v="2023-09-12T00:00:00"/>
    <x v="4"/>
    <x v="1"/>
    <s v="Accessories"/>
    <n v="14"/>
    <n v="16940"/>
    <x v="2"/>
    <x v="2"/>
  </r>
  <r>
    <d v="2023-07-18T00:00:00"/>
    <x v="3"/>
    <x v="2"/>
    <s v="Computers"/>
    <n v="13"/>
    <n v="13130"/>
    <x v="4"/>
    <x v="5"/>
  </r>
  <r>
    <d v="2025-06-08T00:00:00"/>
    <x v="2"/>
    <x v="1"/>
    <s v="Accessories"/>
    <n v="16"/>
    <n v="2416"/>
    <x v="0"/>
    <x v="3"/>
  </r>
  <r>
    <d v="2023-08-05T00:00:00"/>
    <x v="9"/>
    <x v="6"/>
    <s v="Accessories"/>
    <n v="8"/>
    <n v="15448"/>
    <x v="2"/>
    <x v="7"/>
  </r>
  <r>
    <d v="2023-03-30T00:00:00"/>
    <x v="11"/>
    <x v="7"/>
    <s v="Computers"/>
    <n v="4"/>
    <n v="2100"/>
    <x v="1"/>
    <x v="5"/>
  </r>
  <r>
    <d v="2023-01-18T00:00:00"/>
    <x v="5"/>
    <x v="3"/>
    <s v="Mobile"/>
    <n v="3"/>
    <n v="5565"/>
    <x v="1"/>
    <x v="0"/>
  </r>
  <r>
    <d v="2025-02-14T00:00:00"/>
    <x v="10"/>
    <x v="6"/>
    <s v="Accessories"/>
    <n v="20"/>
    <n v="26200"/>
    <x v="4"/>
    <x v="0"/>
  </r>
  <r>
    <d v="2023-05-05T00:00:00"/>
    <x v="1"/>
    <x v="1"/>
    <s v="Accessories"/>
    <n v="18"/>
    <n v="24966"/>
    <x v="3"/>
    <x v="6"/>
  </r>
  <r>
    <d v="2024-04-15T00:00:00"/>
    <x v="7"/>
    <x v="8"/>
    <s v="Mobile"/>
    <n v="6"/>
    <n v="6822"/>
    <x v="0"/>
    <x v="3"/>
  </r>
  <r>
    <d v="2025-10-27T00:00:00"/>
    <x v="6"/>
    <x v="5"/>
    <s v="Electronics"/>
    <n v="13"/>
    <n v="17875"/>
    <x v="1"/>
    <x v="6"/>
  </r>
  <r>
    <d v="2023-12-29T00:00:00"/>
    <x v="8"/>
    <x v="8"/>
    <s v="Mobile"/>
    <n v="20"/>
    <n v="7400"/>
    <x v="3"/>
    <x v="1"/>
  </r>
  <r>
    <d v="2023-02-08T00:00:00"/>
    <x v="10"/>
    <x v="8"/>
    <s v="Mobile"/>
    <n v="3"/>
    <n v="2019"/>
    <x v="2"/>
    <x v="5"/>
  </r>
  <r>
    <d v="2023-11-03T00:00:00"/>
    <x v="0"/>
    <x v="0"/>
    <s v="Office"/>
    <n v="2"/>
    <n v="2556"/>
    <x v="0"/>
    <x v="6"/>
  </r>
  <r>
    <d v="2025-01-01T00:00:00"/>
    <x v="5"/>
    <x v="4"/>
    <s v="Accessories"/>
    <n v="16"/>
    <n v="23552"/>
    <x v="1"/>
    <x v="4"/>
  </r>
  <r>
    <d v="2023-12-16T00:00:00"/>
    <x v="8"/>
    <x v="5"/>
    <s v="Electronics"/>
    <n v="10"/>
    <n v="10080"/>
    <x v="0"/>
    <x v="5"/>
  </r>
  <r>
    <d v="2025-11-02T00:00:00"/>
    <x v="0"/>
    <x v="4"/>
    <s v="Accessories"/>
    <n v="12"/>
    <n v="2928"/>
    <x v="4"/>
    <x v="5"/>
  </r>
  <r>
    <d v="2023-11-03T00:00:00"/>
    <x v="0"/>
    <x v="4"/>
    <s v="Accessories"/>
    <n v="13"/>
    <n v="9672"/>
    <x v="3"/>
    <x v="4"/>
  </r>
  <r>
    <d v="2023-06-16T00:00:00"/>
    <x v="2"/>
    <x v="7"/>
    <s v="Computers"/>
    <n v="6"/>
    <n v="2514"/>
    <x v="4"/>
    <x v="0"/>
  </r>
  <r>
    <d v="2025-11-17T00:00:00"/>
    <x v="0"/>
    <x v="3"/>
    <s v="Mobile"/>
    <n v="8"/>
    <n v="7392"/>
    <x v="1"/>
    <x v="0"/>
  </r>
  <r>
    <d v="2025-08-14T00:00:00"/>
    <x v="9"/>
    <x v="2"/>
    <s v="Computers"/>
    <n v="6"/>
    <n v="10290"/>
    <x v="2"/>
    <x v="7"/>
  </r>
  <r>
    <d v="2023-06-29T00:00:00"/>
    <x v="2"/>
    <x v="8"/>
    <s v="Mobile"/>
    <n v="20"/>
    <n v="5620"/>
    <x v="3"/>
    <x v="0"/>
  </r>
  <r>
    <d v="2024-03-13T00:00:00"/>
    <x v="11"/>
    <x v="9"/>
    <s v="Wearables"/>
    <n v="2"/>
    <n v="1872"/>
    <x v="1"/>
    <x v="7"/>
  </r>
  <r>
    <d v="2023-04-09T00:00:00"/>
    <x v="7"/>
    <x v="5"/>
    <s v="Electronics"/>
    <n v="14"/>
    <n v="23520"/>
    <x v="2"/>
    <x v="4"/>
  </r>
  <r>
    <d v="2025-12-21T00:00:00"/>
    <x v="8"/>
    <x v="0"/>
    <s v="Office"/>
    <n v="9"/>
    <n v="3429"/>
    <x v="0"/>
    <x v="0"/>
  </r>
  <r>
    <d v="2025-09-14T00:00:00"/>
    <x v="4"/>
    <x v="5"/>
    <s v="Electronics"/>
    <n v="15"/>
    <n v="25320"/>
    <x v="4"/>
    <x v="0"/>
  </r>
  <r>
    <d v="2024-08-23T00:00:00"/>
    <x v="9"/>
    <x v="0"/>
    <s v="Office"/>
    <n v="6"/>
    <n v="7686"/>
    <x v="3"/>
    <x v="5"/>
  </r>
  <r>
    <d v="2025-09-12T00:00:00"/>
    <x v="4"/>
    <x v="9"/>
    <s v="Wearables"/>
    <n v="6"/>
    <n v="3798"/>
    <x v="1"/>
    <x v="4"/>
  </r>
  <r>
    <d v="2025-05-09T00:00:00"/>
    <x v="1"/>
    <x v="8"/>
    <s v="Mobile"/>
    <n v="17"/>
    <n v="5814"/>
    <x v="4"/>
    <x v="5"/>
  </r>
  <r>
    <d v="2025-09-02T00:00:00"/>
    <x v="4"/>
    <x v="0"/>
    <s v="Office"/>
    <n v="14"/>
    <n v="20860"/>
    <x v="3"/>
    <x v="1"/>
  </r>
  <r>
    <d v="2025-05-16T00:00:00"/>
    <x v="1"/>
    <x v="9"/>
    <s v="Wearables"/>
    <n v="6"/>
    <n v="1794"/>
    <x v="0"/>
    <x v="1"/>
  </r>
  <r>
    <d v="2023-07-24T00:00:00"/>
    <x v="3"/>
    <x v="7"/>
    <s v="Computers"/>
    <n v="7"/>
    <n v="7938"/>
    <x v="2"/>
    <x v="1"/>
  </r>
  <r>
    <d v="2025-01-28T00:00:00"/>
    <x v="5"/>
    <x v="5"/>
    <s v="Electronics"/>
    <n v="1"/>
    <n v="727"/>
    <x v="3"/>
    <x v="1"/>
  </r>
  <r>
    <d v="2025-06-12T00:00:00"/>
    <x v="2"/>
    <x v="8"/>
    <s v="Mobile"/>
    <n v="5"/>
    <n v="2500"/>
    <x v="2"/>
    <x v="7"/>
  </r>
  <r>
    <d v="2025-01-11T00:00:00"/>
    <x v="5"/>
    <x v="5"/>
    <s v="Electronics"/>
    <n v="19"/>
    <n v="28652"/>
    <x v="1"/>
    <x v="4"/>
  </r>
  <r>
    <d v="2024-05-06T00:00:00"/>
    <x v="1"/>
    <x v="5"/>
    <s v="Electronics"/>
    <n v="17"/>
    <n v="29699"/>
    <x v="3"/>
    <x v="3"/>
  </r>
  <r>
    <d v="2023-02-18T00:00:00"/>
    <x v="10"/>
    <x v="1"/>
    <s v="Accessories"/>
    <n v="5"/>
    <n v="1745"/>
    <x v="1"/>
    <x v="1"/>
  </r>
  <r>
    <d v="2023-01-22T00:00:00"/>
    <x v="5"/>
    <x v="6"/>
    <s v="Accessories"/>
    <n v="20"/>
    <n v="21660"/>
    <x v="3"/>
    <x v="7"/>
  </r>
  <r>
    <d v="2024-01-27T00:00:00"/>
    <x v="5"/>
    <x v="8"/>
    <s v="Mobile"/>
    <n v="18"/>
    <n v="13968"/>
    <x v="4"/>
    <x v="2"/>
  </r>
  <r>
    <d v="2023-12-22T00:00:00"/>
    <x v="8"/>
    <x v="0"/>
    <s v="Office"/>
    <n v="13"/>
    <n v="11609"/>
    <x v="3"/>
    <x v="5"/>
  </r>
  <r>
    <d v="2025-01-21T00:00:00"/>
    <x v="5"/>
    <x v="8"/>
    <s v="Mobile"/>
    <n v="4"/>
    <n v="5124"/>
    <x v="0"/>
    <x v="6"/>
  </r>
  <r>
    <d v="2023-03-19T00:00:00"/>
    <x v="11"/>
    <x v="1"/>
    <s v="Accessories"/>
    <n v="7"/>
    <n v="5033"/>
    <x v="1"/>
    <x v="6"/>
  </r>
  <r>
    <d v="2025-02-28T00:00:00"/>
    <x v="10"/>
    <x v="7"/>
    <s v="Computers"/>
    <n v="3"/>
    <n v="3801"/>
    <x v="2"/>
    <x v="2"/>
  </r>
  <r>
    <d v="2024-08-27T00:00:00"/>
    <x v="9"/>
    <x v="3"/>
    <s v="Mobile"/>
    <n v="9"/>
    <n v="10602"/>
    <x v="0"/>
    <x v="0"/>
  </r>
  <r>
    <d v="2025-03-30T00:00:00"/>
    <x v="11"/>
    <x v="9"/>
    <s v="Wearables"/>
    <n v="18"/>
    <n v="32706"/>
    <x v="1"/>
    <x v="0"/>
  </r>
  <r>
    <d v="2023-04-20T00:00:00"/>
    <x v="7"/>
    <x v="2"/>
    <s v="Computers"/>
    <n v="9"/>
    <n v="2358"/>
    <x v="4"/>
    <x v="3"/>
  </r>
  <r>
    <d v="2024-06-30T00:00:00"/>
    <x v="2"/>
    <x v="1"/>
    <s v="Accessories"/>
    <n v="4"/>
    <n v="6544"/>
    <x v="0"/>
    <x v="7"/>
  </r>
  <r>
    <d v="2023-06-02T00:00:00"/>
    <x v="2"/>
    <x v="6"/>
    <s v="Accessories"/>
    <n v="5"/>
    <n v="1320"/>
    <x v="2"/>
    <x v="0"/>
  </r>
  <r>
    <d v="2023-05-07T00:00:00"/>
    <x v="1"/>
    <x v="0"/>
    <s v="Office"/>
    <n v="19"/>
    <n v="1216"/>
    <x v="0"/>
    <x v="4"/>
  </r>
  <r>
    <d v="2024-02-25T00:00:00"/>
    <x v="10"/>
    <x v="0"/>
    <s v="Office"/>
    <n v="19"/>
    <n v="11894"/>
    <x v="0"/>
    <x v="1"/>
  </r>
  <r>
    <d v="2023-08-17T00:00:00"/>
    <x v="9"/>
    <x v="7"/>
    <s v="Computers"/>
    <n v="11"/>
    <n v="19195"/>
    <x v="0"/>
    <x v="0"/>
  </r>
  <r>
    <d v="2025-05-18T00:00:00"/>
    <x v="1"/>
    <x v="5"/>
    <s v="Electronics"/>
    <n v="7"/>
    <n v="12789"/>
    <x v="3"/>
    <x v="4"/>
  </r>
  <r>
    <d v="2025-12-24T00:00:00"/>
    <x v="8"/>
    <x v="2"/>
    <s v="Computers"/>
    <n v="10"/>
    <n v="18500"/>
    <x v="3"/>
    <x v="0"/>
  </r>
  <r>
    <d v="2023-03-16T00:00:00"/>
    <x v="11"/>
    <x v="3"/>
    <s v="Mobile"/>
    <n v="2"/>
    <n v="394"/>
    <x v="1"/>
    <x v="5"/>
  </r>
  <r>
    <d v="2023-07-07T00:00:00"/>
    <x v="3"/>
    <x v="1"/>
    <s v="Accessories"/>
    <n v="18"/>
    <n v="15966"/>
    <x v="3"/>
    <x v="1"/>
  </r>
  <r>
    <d v="2023-01-12T00:00:00"/>
    <x v="5"/>
    <x v="4"/>
    <s v="Accessories"/>
    <n v="18"/>
    <n v="33984"/>
    <x v="4"/>
    <x v="2"/>
  </r>
  <r>
    <d v="2024-11-12T00:00:00"/>
    <x v="0"/>
    <x v="8"/>
    <s v="Mobile"/>
    <n v="14"/>
    <n v="3752"/>
    <x v="3"/>
    <x v="0"/>
  </r>
  <r>
    <d v="2023-09-18T00:00:00"/>
    <x v="4"/>
    <x v="6"/>
    <s v="Accessories"/>
    <n v="14"/>
    <n v="22330"/>
    <x v="2"/>
    <x v="2"/>
  </r>
  <r>
    <d v="2024-08-17T00:00:00"/>
    <x v="9"/>
    <x v="5"/>
    <s v="Electronics"/>
    <n v="17"/>
    <n v="15028"/>
    <x v="1"/>
    <x v="2"/>
  </r>
  <r>
    <d v="2024-02-28T00:00:00"/>
    <x v="10"/>
    <x v="1"/>
    <s v="Accessories"/>
    <n v="9"/>
    <n v="3816"/>
    <x v="2"/>
    <x v="0"/>
  </r>
  <r>
    <d v="2024-06-18T00:00:00"/>
    <x v="2"/>
    <x v="2"/>
    <s v="Computers"/>
    <n v="17"/>
    <n v="13906"/>
    <x v="0"/>
    <x v="7"/>
  </r>
  <r>
    <d v="2023-03-16T00:00:00"/>
    <x v="11"/>
    <x v="7"/>
    <s v="Computers"/>
    <n v="17"/>
    <n v="24650"/>
    <x v="1"/>
    <x v="3"/>
  </r>
  <r>
    <d v="2025-11-03T00:00:00"/>
    <x v="0"/>
    <x v="1"/>
    <s v="Accessories"/>
    <n v="13"/>
    <n v="1001"/>
    <x v="4"/>
    <x v="4"/>
  </r>
  <r>
    <d v="2024-03-14T00:00:00"/>
    <x v="11"/>
    <x v="2"/>
    <s v="Computers"/>
    <n v="19"/>
    <n v="15561"/>
    <x v="3"/>
    <x v="3"/>
  </r>
  <r>
    <d v="2024-10-20T00:00:00"/>
    <x v="6"/>
    <x v="2"/>
    <s v="Computers"/>
    <n v="13"/>
    <n v="15808"/>
    <x v="2"/>
    <x v="0"/>
  </r>
  <r>
    <d v="2023-06-04T00:00:00"/>
    <x v="2"/>
    <x v="1"/>
    <s v="Accessories"/>
    <n v="14"/>
    <n v="19838"/>
    <x v="2"/>
    <x v="2"/>
  </r>
  <r>
    <d v="2023-03-27T00:00:00"/>
    <x v="11"/>
    <x v="9"/>
    <s v="Wearables"/>
    <n v="5"/>
    <n v="7600"/>
    <x v="1"/>
    <x v="0"/>
  </r>
  <r>
    <d v="2023-12-08T00:00:00"/>
    <x v="8"/>
    <x v="4"/>
    <s v="Accessories"/>
    <n v="18"/>
    <n v="6930"/>
    <x v="0"/>
    <x v="3"/>
  </r>
  <r>
    <d v="2023-02-10T00:00:00"/>
    <x v="10"/>
    <x v="2"/>
    <s v="Computers"/>
    <n v="1"/>
    <n v="729"/>
    <x v="3"/>
    <x v="2"/>
  </r>
  <r>
    <d v="2023-12-16T00:00:00"/>
    <x v="8"/>
    <x v="1"/>
    <s v="Accessories"/>
    <n v="1"/>
    <n v="1862"/>
    <x v="1"/>
    <x v="0"/>
  </r>
  <r>
    <d v="2023-05-28T00:00:00"/>
    <x v="1"/>
    <x v="8"/>
    <s v="Mobile"/>
    <n v="11"/>
    <n v="5687"/>
    <x v="4"/>
    <x v="2"/>
  </r>
  <r>
    <d v="2024-04-13T00:00:00"/>
    <x v="7"/>
    <x v="3"/>
    <s v="Mobile"/>
    <n v="19"/>
    <n v="14687"/>
    <x v="2"/>
    <x v="1"/>
  </r>
  <r>
    <d v="2025-11-27T00:00:00"/>
    <x v="0"/>
    <x v="3"/>
    <s v="Mobile"/>
    <n v="17"/>
    <n v="8432"/>
    <x v="3"/>
    <x v="2"/>
  </r>
  <r>
    <d v="2023-11-17T00:00:00"/>
    <x v="0"/>
    <x v="8"/>
    <s v="Mobile"/>
    <n v="7"/>
    <n v="1099"/>
    <x v="0"/>
    <x v="1"/>
  </r>
  <r>
    <d v="2024-01-13T00:00:00"/>
    <x v="5"/>
    <x v="4"/>
    <s v="Accessories"/>
    <n v="10"/>
    <n v="8350"/>
    <x v="3"/>
    <x v="1"/>
  </r>
  <r>
    <d v="2024-06-19T00:00:00"/>
    <x v="2"/>
    <x v="8"/>
    <s v="Mobile"/>
    <n v="3"/>
    <n v="1821"/>
    <x v="2"/>
    <x v="7"/>
  </r>
  <r>
    <d v="2023-05-21T00:00:00"/>
    <x v="1"/>
    <x v="2"/>
    <s v="Computers"/>
    <n v="2"/>
    <n v="1102"/>
    <x v="4"/>
    <x v="3"/>
  </r>
  <r>
    <d v="2025-05-31T00:00:00"/>
    <x v="1"/>
    <x v="6"/>
    <s v="Accessories"/>
    <n v="13"/>
    <n v="4524"/>
    <x v="0"/>
    <x v="5"/>
  </r>
  <r>
    <d v="2023-05-09T00:00:00"/>
    <x v="1"/>
    <x v="2"/>
    <s v="Computers"/>
    <n v="6"/>
    <n v="10404"/>
    <x v="1"/>
    <x v="3"/>
  </r>
  <r>
    <d v="2023-12-24T00:00:00"/>
    <x v="8"/>
    <x v="3"/>
    <s v="Mobile"/>
    <n v="2"/>
    <n v="3666"/>
    <x v="4"/>
    <x v="0"/>
  </r>
  <r>
    <d v="2023-01-17T00:00:00"/>
    <x v="5"/>
    <x v="5"/>
    <s v="Electronics"/>
    <n v="11"/>
    <n v="1430"/>
    <x v="3"/>
    <x v="5"/>
  </r>
  <r>
    <d v="2024-02-15T00:00:00"/>
    <x v="10"/>
    <x v="1"/>
    <s v="Accessories"/>
    <n v="1"/>
    <n v="1474"/>
    <x v="2"/>
    <x v="7"/>
  </r>
  <r>
    <d v="2024-02-10T00:00:00"/>
    <x v="10"/>
    <x v="4"/>
    <s v="Accessories"/>
    <n v="19"/>
    <n v="5548"/>
    <x v="2"/>
    <x v="2"/>
  </r>
  <r>
    <d v="2025-05-29T00:00:00"/>
    <x v="1"/>
    <x v="7"/>
    <s v="Computers"/>
    <n v="17"/>
    <n v="20621"/>
    <x v="3"/>
    <x v="5"/>
  </r>
  <r>
    <d v="2025-04-28T00:00:00"/>
    <x v="7"/>
    <x v="0"/>
    <s v="Office"/>
    <n v="11"/>
    <n v="4312"/>
    <x v="1"/>
    <x v="5"/>
  </r>
  <r>
    <d v="2023-06-10T00:00:00"/>
    <x v="2"/>
    <x v="5"/>
    <s v="Electronics"/>
    <n v="9"/>
    <n v="9135"/>
    <x v="2"/>
    <x v="3"/>
  </r>
  <r>
    <d v="2023-05-20T00:00:00"/>
    <x v="1"/>
    <x v="4"/>
    <s v="Accessories"/>
    <n v="15"/>
    <n v="23430"/>
    <x v="0"/>
    <x v="4"/>
  </r>
  <r>
    <d v="2023-05-24T00:00:00"/>
    <x v="1"/>
    <x v="1"/>
    <s v="Accessories"/>
    <n v="15"/>
    <n v="24600"/>
    <x v="3"/>
    <x v="2"/>
  </r>
  <r>
    <d v="2023-01-08T00:00:00"/>
    <x v="5"/>
    <x v="7"/>
    <s v="Computers"/>
    <n v="6"/>
    <n v="6228"/>
    <x v="4"/>
    <x v="7"/>
  </r>
  <r>
    <d v="2023-11-22T00:00:00"/>
    <x v="0"/>
    <x v="2"/>
    <s v="Computers"/>
    <n v="10"/>
    <n v="19300"/>
    <x v="0"/>
    <x v="0"/>
  </r>
  <r>
    <d v="2025-02-11T00:00:00"/>
    <x v="10"/>
    <x v="0"/>
    <s v="Office"/>
    <n v="6"/>
    <n v="6390"/>
    <x v="0"/>
    <x v="2"/>
  </r>
  <r>
    <d v="2023-02-20T00:00:00"/>
    <x v="10"/>
    <x v="0"/>
    <s v="Office"/>
    <n v="1"/>
    <n v="1721"/>
    <x v="3"/>
    <x v="5"/>
  </r>
  <r>
    <d v="2024-04-19T00:00:00"/>
    <x v="7"/>
    <x v="6"/>
    <s v="Accessories"/>
    <n v="12"/>
    <n v="3312"/>
    <x v="3"/>
    <x v="4"/>
  </r>
  <r>
    <d v="2025-10-05T00:00:00"/>
    <x v="6"/>
    <x v="7"/>
    <s v="Computers"/>
    <n v="11"/>
    <n v="9020"/>
    <x v="2"/>
    <x v="3"/>
  </r>
  <r>
    <d v="2024-05-21T00:00:00"/>
    <x v="1"/>
    <x v="5"/>
    <s v="Electronics"/>
    <n v="12"/>
    <n v="4476"/>
    <x v="3"/>
    <x v="7"/>
  </r>
  <r>
    <d v="2025-12-30T00:00:00"/>
    <x v="8"/>
    <x v="1"/>
    <s v="Accessories"/>
    <n v="10"/>
    <n v="12750"/>
    <x v="0"/>
    <x v="4"/>
  </r>
  <r>
    <d v="2024-06-03T00:00:00"/>
    <x v="2"/>
    <x v="7"/>
    <s v="Computers"/>
    <n v="13"/>
    <n v="25948"/>
    <x v="4"/>
    <x v="2"/>
  </r>
  <r>
    <d v="2025-12-16T00:00:00"/>
    <x v="8"/>
    <x v="5"/>
    <s v="Electronics"/>
    <n v="10"/>
    <n v="15900"/>
    <x v="1"/>
    <x v="5"/>
  </r>
  <r>
    <d v="2023-01-14T00:00:00"/>
    <x v="5"/>
    <x v="3"/>
    <s v="Mobile"/>
    <n v="14"/>
    <n v="9814"/>
    <x v="3"/>
    <x v="1"/>
  </r>
  <r>
    <d v="2023-04-26T00:00:00"/>
    <x v="7"/>
    <x v="9"/>
    <s v="Wearables"/>
    <n v="14"/>
    <n v="19012"/>
    <x v="3"/>
    <x v="0"/>
  </r>
  <r>
    <d v="2024-08-15T00:00:00"/>
    <x v="9"/>
    <x v="8"/>
    <s v="Mobile"/>
    <n v="4"/>
    <n v="7528"/>
    <x v="3"/>
    <x v="5"/>
  </r>
  <r>
    <d v="2023-01-20T00:00:00"/>
    <x v="5"/>
    <x v="5"/>
    <s v="Electronics"/>
    <n v="19"/>
    <n v="25251"/>
    <x v="0"/>
    <x v="4"/>
  </r>
  <r>
    <d v="2024-09-07T00:00:00"/>
    <x v="4"/>
    <x v="8"/>
    <s v="Mobile"/>
    <n v="1"/>
    <n v="1785"/>
    <x v="4"/>
    <x v="4"/>
  </r>
  <r>
    <d v="2024-03-02T00:00:00"/>
    <x v="11"/>
    <x v="3"/>
    <s v="Mobile"/>
    <n v="11"/>
    <n v="8657"/>
    <x v="4"/>
    <x v="7"/>
  </r>
  <r>
    <d v="2024-12-26T00:00:00"/>
    <x v="8"/>
    <x v="1"/>
    <s v="Accessories"/>
    <n v="2"/>
    <n v="2186"/>
    <x v="0"/>
    <x v="3"/>
  </r>
  <r>
    <d v="2025-07-20T00:00:00"/>
    <x v="3"/>
    <x v="5"/>
    <s v="Electronics"/>
    <n v="5"/>
    <n v="2445"/>
    <x v="1"/>
    <x v="6"/>
  </r>
  <r>
    <d v="2023-10-31T00:00:00"/>
    <x v="6"/>
    <x v="5"/>
    <s v="Electronics"/>
    <n v="13"/>
    <n v="10465"/>
    <x v="4"/>
    <x v="1"/>
  </r>
  <r>
    <d v="2024-05-26T00:00:00"/>
    <x v="1"/>
    <x v="1"/>
    <s v="Accessories"/>
    <n v="10"/>
    <n v="7960"/>
    <x v="0"/>
    <x v="7"/>
  </r>
  <r>
    <d v="2024-01-17T00:00:00"/>
    <x v="5"/>
    <x v="6"/>
    <s v="Accessories"/>
    <n v="4"/>
    <n v="7824"/>
    <x v="2"/>
    <x v="5"/>
  </r>
  <r>
    <d v="2024-05-06T00:00:00"/>
    <x v="1"/>
    <x v="0"/>
    <s v="Office"/>
    <n v="15"/>
    <n v="13875"/>
    <x v="3"/>
    <x v="3"/>
  </r>
  <r>
    <d v="2023-09-29T00:00:00"/>
    <x v="4"/>
    <x v="7"/>
    <s v="Computers"/>
    <n v="1"/>
    <n v="1617"/>
    <x v="4"/>
    <x v="1"/>
  </r>
  <r>
    <d v="2024-10-19T00:00:00"/>
    <x v="6"/>
    <x v="8"/>
    <s v="Mobile"/>
    <n v="11"/>
    <n v="8789"/>
    <x v="3"/>
    <x v="5"/>
  </r>
  <r>
    <d v="2025-06-04T00:00:00"/>
    <x v="2"/>
    <x v="4"/>
    <s v="Accessories"/>
    <n v="5"/>
    <n v="3975"/>
    <x v="0"/>
    <x v="7"/>
  </r>
  <r>
    <d v="2024-08-03T00:00:00"/>
    <x v="9"/>
    <x v="5"/>
    <s v="Electronics"/>
    <n v="8"/>
    <n v="8032"/>
    <x v="2"/>
    <x v="3"/>
  </r>
  <r>
    <d v="2025-12-02T00:00:00"/>
    <x v="8"/>
    <x v="8"/>
    <s v="Mobile"/>
    <n v="6"/>
    <n v="4428"/>
    <x v="2"/>
    <x v="7"/>
  </r>
  <r>
    <d v="2024-10-13T00:00:00"/>
    <x v="6"/>
    <x v="2"/>
    <s v="Computers"/>
    <n v="20"/>
    <n v="7020"/>
    <x v="3"/>
    <x v="0"/>
  </r>
  <r>
    <d v="2023-10-16T00:00:00"/>
    <x v="6"/>
    <x v="0"/>
    <s v="Office"/>
    <n v="6"/>
    <n v="1098"/>
    <x v="4"/>
    <x v="7"/>
  </r>
  <r>
    <d v="2025-03-24T00:00:00"/>
    <x v="11"/>
    <x v="5"/>
    <s v="Electronics"/>
    <n v="6"/>
    <n v="10686"/>
    <x v="3"/>
    <x v="6"/>
  </r>
  <r>
    <d v="2025-05-12T00:00:00"/>
    <x v="1"/>
    <x v="5"/>
    <s v="Electronics"/>
    <n v="10"/>
    <n v="10550"/>
    <x v="3"/>
    <x v="4"/>
  </r>
  <r>
    <d v="2023-02-09T00:00:00"/>
    <x v="10"/>
    <x v="9"/>
    <s v="Wearables"/>
    <n v="13"/>
    <n v="10985"/>
    <x v="1"/>
    <x v="5"/>
  </r>
  <r>
    <d v="2023-01-20T00:00:00"/>
    <x v="5"/>
    <x v="3"/>
    <s v="Mobile"/>
    <n v="20"/>
    <n v="22540"/>
    <x v="1"/>
    <x v="5"/>
  </r>
  <r>
    <d v="2023-01-09T00:00:00"/>
    <x v="5"/>
    <x v="0"/>
    <s v="Office"/>
    <n v="13"/>
    <n v="8684"/>
    <x v="1"/>
    <x v="1"/>
  </r>
  <r>
    <d v="2025-03-20T00:00:00"/>
    <x v="11"/>
    <x v="0"/>
    <s v="Office"/>
    <n v="1"/>
    <n v="1935"/>
    <x v="2"/>
    <x v="2"/>
  </r>
  <r>
    <d v="2023-01-11T00:00:00"/>
    <x v="5"/>
    <x v="9"/>
    <s v="Wearables"/>
    <n v="1"/>
    <n v="1475"/>
    <x v="3"/>
    <x v="6"/>
  </r>
  <r>
    <d v="2024-04-04T00:00:00"/>
    <x v="7"/>
    <x v="9"/>
    <s v="Wearables"/>
    <n v="6"/>
    <n v="528"/>
    <x v="3"/>
    <x v="5"/>
  </r>
  <r>
    <d v="2025-09-12T00:00:00"/>
    <x v="4"/>
    <x v="9"/>
    <s v="Wearables"/>
    <n v="3"/>
    <n v="4470"/>
    <x v="0"/>
    <x v="2"/>
  </r>
  <r>
    <d v="2025-03-25T00:00:00"/>
    <x v="11"/>
    <x v="3"/>
    <s v="Mobile"/>
    <n v="11"/>
    <n v="17611"/>
    <x v="4"/>
    <x v="4"/>
  </r>
  <r>
    <d v="2024-10-20T00:00:00"/>
    <x v="6"/>
    <x v="5"/>
    <s v="Electronics"/>
    <n v="12"/>
    <n v="9180"/>
    <x v="4"/>
    <x v="0"/>
  </r>
  <r>
    <d v="2023-09-07T00:00:00"/>
    <x v="4"/>
    <x v="7"/>
    <s v="Computers"/>
    <n v="3"/>
    <n v="3156"/>
    <x v="4"/>
    <x v="2"/>
  </r>
  <r>
    <d v="2024-07-05T00:00:00"/>
    <x v="3"/>
    <x v="7"/>
    <s v="Computers"/>
    <n v="10"/>
    <n v="16010"/>
    <x v="2"/>
    <x v="1"/>
  </r>
  <r>
    <d v="2025-01-31T00:00:00"/>
    <x v="5"/>
    <x v="3"/>
    <s v="Mobile"/>
    <n v="20"/>
    <n v="31900"/>
    <x v="3"/>
    <x v="0"/>
  </r>
  <r>
    <d v="2023-09-11T00:00:00"/>
    <x v="4"/>
    <x v="0"/>
    <s v="Office"/>
    <n v="16"/>
    <n v="31824"/>
    <x v="2"/>
    <x v="0"/>
  </r>
  <r>
    <d v="2025-11-26T00:00:00"/>
    <x v="0"/>
    <x v="9"/>
    <s v="Wearables"/>
    <n v="18"/>
    <n v="12816"/>
    <x v="4"/>
    <x v="3"/>
  </r>
  <r>
    <d v="2024-08-21T00:00:00"/>
    <x v="9"/>
    <x v="5"/>
    <s v="Electronics"/>
    <n v="7"/>
    <n v="12705"/>
    <x v="0"/>
    <x v="0"/>
  </r>
  <r>
    <d v="2024-02-25T00:00:00"/>
    <x v="10"/>
    <x v="4"/>
    <s v="Accessories"/>
    <n v="12"/>
    <n v="10152"/>
    <x v="0"/>
    <x v="0"/>
  </r>
  <r>
    <d v="2024-01-16T00:00:00"/>
    <x v="5"/>
    <x v="2"/>
    <s v="Computers"/>
    <n v="12"/>
    <n v="7464"/>
    <x v="1"/>
    <x v="2"/>
  </r>
  <r>
    <d v="2025-11-23T00:00:00"/>
    <x v="0"/>
    <x v="8"/>
    <s v="Mobile"/>
    <n v="4"/>
    <n v="4704"/>
    <x v="2"/>
    <x v="2"/>
  </r>
  <r>
    <d v="2023-08-30T00:00:00"/>
    <x v="9"/>
    <x v="4"/>
    <s v="Accessories"/>
    <n v="15"/>
    <n v="13200"/>
    <x v="1"/>
    <x v="7"/>
  </r>
  <r>
    <d v="2025-03-04T00:00:00"/>
    <x v="11"/>
    <x v="2"/>
    <s v="Computers"/>
    <n v="20"/>
    <n v="39880"/>
    <x v="4"/>
    <x v="7"/>
  </r>
  <r>
    <d v="2025-11-01T00:00:00"/>
    <x v="0"/>
    <x v="5"/>
    <s v="Electronics"/>
    <n v="8"/>
    <n v="9336"/>
    <x v="0"/>
    <x v="2"/>
  </r>
  <r>
    <d v="2024-07-24T00:00:00"/>
    <x v="3"/>
    <x v="7"/>
    <s v="Computers"/>
    <n v="4"/>
    <n v="7264"/>
    <x v="4"/>
    <x v="4"/>
  </r>
  <r>
    <d v="2025-01-27T00:00:00"/>
    <x v="5"/>
    <x v="4"/>
    <s v="Accessories"/>
    <n v="19"/>
    <n v="5662"/>
    <x v="3"/>
    <x v="4"/>
  </r>
  <r>
    <d v="2024-02-10T00:00:00"/>
    <x v="10"/>
    <x v="3"/>
    <s v="Mobile"/>
    <n v="5"/>
    <n v="2360"/>
    <x v="4"/>
    <x v="0"/>
  </r>
  <r>
    <d v="2023-08-28T00:00:00"/>
    <x v="9"/>
    <x v="0"/>
    <s v="Office"/>
    <n v="15"/>
    <n v="28005"/>
    <x v="3"/>
    <x v="0"/>
  </r>
  <r>
    <d v="2023-07-31T00:00:00"/>
    <x v="3"/>
    <x v="8"/>
    <s v="Mobile"/>
    <n v="10"/>
    <n v="2870"/>
    <x v="3"/>
    <x v="5"/>
  </r>
  <r>
    <d v="2025-02-21T00:00:00"/>
    <x v="10"/>
    <x v="5"/>
    <s v="Electronics"/>
    <n v="17"/>
    <n v="24293"/>
    <x v="1"/>
    <x v="3"/>
  </r>
  <r>
    <d v="2023-05-23T00:00:00"/>
    <x v="1"/>
    <x v="7"/>
    <s v="Computers"/>
    <n v="11"/>
    <n v="9075"/>
    <x v="4"/>
    <x v="6"/>
  </r>
  <r>
    <d v="2023-06-29T00:00:00"/>
    <x v="2"/>
    <x v="4"/>
    <s v="Accessories"/>
    <n v="11"/>
    <n v="19008"/>
    <x v="1"/>
    <x v="7"/>
  </r>
  <r>
    <d v="2025-10-05T00:00:00"/>
    <x v="6"/>
    <x v="9"/>
    <s v="Wearables"/>
    <n v="20"/>
    <n v="12200"/>
    <x v="0"/>
    <x v="3"/>
  </r>
  <r>
    <d v="2023-09-10T00:00:00"/>
    <x v="4"/>
    <x v="6"/>
    <s v="Accessories"/>
    <n v="5"/>
    <n v="5015"/>
    <x v="0"/>
    <x v="0"/>
  </r>
  <r>
    <d v="2023-06-13T00:00:00"/>
    <x v="2"/>
    <x v="6"/>
    <s v="Accessories"/>
    <n v="3"/>
    <n v="2271"/>
    <x v="2"/>
    <x v="7"/>
  </r>
  <r>
    <d v="2023-11-27T00:00:00"/>
    <x v="0"/>
    <x v="2"/>
    <s v="Computers"/>
    <n v="15"/>
    <n v="20970"/>
    <x v="4"/>
    <x v="2"/>
  </r>
  <r>
    <d v="2025-08-14T00:00:00"/>
    <x v="9"/>
    <x v="6"/>
    <s v="Accessories"/>
    <n v="13"/>
    <n v="16003"/>
    <x v="1"/>
    <x v="6"/>
  </r>
  <r>
    <d v="2024-03-21T00:00:00"/>
    <x v="11"/>
    <x v="5"/>
    <s v="Electronics"/>
    <n v="16"/>
    <n v="20784"/>
    <x v="0"/>
    <x v="0"/>
  </r>
  <r>
    <d v="2023-12-21T00:00:00"/>
    <x v="8"/>
    <x v="6"/>
    <s v="Accessories"/>
    <n v="18"/>
    <n v="6606"/>
    <x v="2"/>
    <x v="6"/>
  </r>
  <r>
    <d v="2023-09-28T00:00:00"/>
    <x v="4"/>
    <x v="4"/>
    <s v="Accessories"/>
    <n v="6"/>
    <n v="2376"/>
    <x v="3"/>
    <x v="3"/>
  </r>
  <r>
    <d v="2024-10-06T00:00:00"/>
    <x v="6"/>
    <x v="0"/>
    <s v="Office"/>
    <n v="9"/>
    <n v="6174"/>
    <x v="1"/>
    <x v="3"/>
  </r>
  <r>
    <d v="2024-05-03T00:00:00"/>
    <x v="1"/>
    <x v="0"/>
    <s v="Office"/>
    <n v="9"/>
    <n v="12294"/>
    <x v="1"/>
    <x v="4"/>
  </r>
  <r>
    <d v="2024-12-15T00:00:00"/>
    <x v="8"/>
    <x v="9"/>
    <s v="Wearables"/>
    <n v="5"/>
    <n v="6015"/>
    <x v="1"/>
    <x v="4"/>
  </r>
  <r>
    <d v="2024-12-12T00:00:00"/>
    <x v="8"/>
    <x v="1"/>
    <s v="Accessories"/>
    <n v="13"/>
    <n v="22802"/>
    <x v="1"/>
    <x v="2"/>
  </r>
  <r>
    <d v="2025-04-06T00:00:00"/>
    <x v="7"/>
    <x v="7"/>
    <s v="Computers"/>
    <n v="1"/>
    <n v="373"/>
    <x v="0"/>
    <x v="1"/>
  </r>
  <r>
    <d v="2025-01-18T00:00:00"/>
    <x v="5"/>
    <x v="1"/>
    <s v="Accessories"/>
    <n v="4"/>
    <n v="1236"/>
    <x v="1"/>
    <x v="0"/>
  </r>
  <r>
    <d v="2023-04-24T00:00:00"/>
    <x v="7"/>
    <x v="3"/>
    <s v="Mobile"/>
    <n v="9"/>
    <n v="16641"/>
    <x v="1"/>
    <x v="6"/>
  </r>
  <r>
    <d v="2025-10-31T00:00:00"/>
    <x v="6"/>
    <x v="3"/>
    <s v="Mobile"/>
    <n v="17"/>
    <n v="10591"/>
    <x v="3"/>
    <x v="6"/>
  </r>
  <r>
    <d v="2023-11-16T00:00:00"/>
    <x v="0"/>
    <x v="6"/>
    <s v="Accessories"/>
    <n v="16"/>
    <n v="12832"/>
    <x v="2"/>
    <x v="5"/>
  </r>
  <r>
    <d v="2024-11-14T00:00:00"/>
    <x v="0"/>
    <x v="4"/>
    <s v="Accessories"/>
    <n v="8"/>
    <n v="2008"/>
    <x v="3"/>
    <x v="2"/>
  </r>
  <r>
    <d v="2024-03-14T00:00:00"/>
    <x v="11"/>
    <x v="7"/>
    <s v="Computers"/>
    <n v="18"/>
    <n v="12150"/>
    <x v="0"/>
    <x v="1"/>
  </r>
  <r>
    <d v="2024-11-05T00:00:00"/>
    <x v="0"/>
    <x v="5"/>
    <s v="Electronics"/>
    <n v="6"/>
    <n v="7386"/>
    <x v="1"/>
    <x v="0"/>
  </r>
  <r>
    <d v="2023-11-15T00:00:00"/>
    <x v="0"/>
    <x v="9"/>
    <s v="Wearables"/>
    <n v="6"/>
    <n v="6714"/>
    <x v="4"/>
    <x v="4"/>
  </r>
  <r>
    <d v="2023-11-06T00:00:00"/>
    <x v="0"/>
    <x v="4"/>
    <s v="Accessories"/>
    <n v="1"/>
    <n v="1733"/>
    <x v="4"/>
    <x v="1"/>
  </r>
  <r>
    <d v="2024-04-21T00:00:00"/>
    <x v="7"/>
    <x v="4"/>
    <s v="Accessories"/>
    <n v="5"/>
    <n v="1265"/>
    <x v="4"/>
    <x v="2"/>
  </r>
  <r>
    <d v="2025-04-09T00:00:00"/>
    <x v="7"/>
    <x v="9"/>
    <s v="Wearables"/>
    <n v="8"/>
    <n v="5528"/>
    <x v="1"/>
    <x v="5"/>
  </r>
  <r>
    <d v="2024-06-07T00:00:00"/>
    <x v="2"/>
    <x v="5"/>
    <s v="Electronics"/>
    <n v="10"/>
    <n v="13830"/>
    <x v="2"/>
    <x v="4"/>
  </r>
  <r>
    <d v="2023-08-19T00:00:00"/>
    <x v="9"/>
    <x v="9"/>
    <s v="Wearables"/>
    <n v="11"/>
    <n v="880"/>
    <x v="0"/>
    <x v="6"/>
  </r>
  <r>
    <d v="2025-08-08T00:00:00"/>
    <x v="9"/>
    <x v="1"/>
    <s v="Accessories"/>
    <n v="1"/>
    <n v="658"/>
    <x v="4"/>
    <x v="3"/>
  </r>
  <r>
    <d v="2024-08-02T00:00:00"/>
    <x v="9"/>
    <x v="5"/>
    <s v="Electronics"/>
    <n v="14"/>
    <n v="21196"/>
    <x v="4"/>
    <x v="0"/>
  </r>
  <r>
    <d v="2024-04-24T00:00:00"/>
    <x v="7"/>
    <x v="2"/>
    <s v="Computers"/>
    <n v="14"/>
    <n v="23786"/>
    <x v="4"/>
    <x v="3"/>
  </r>
  <r>
    <d v="2025-02-09T00:00:00"/>
    <x v="10"/>
    <x v="6"/>
    <s v="Accessories"/>
    <n v="14"/>
    <n v="27524"/>
    <x v="3"/>
    <x v="7"/>
  </r>
  <r>
    <d v="2025-07-03T00:00:00"/>
    <x v="3"/>
    <x v="0"/>
    <s v="Office"/>
    <n v="19"/>
    <n v="34770"/>
    <x v="0"/>
    <x v="5"/>
  </r>
  <r>
    <d v="2023-08-18T00:00:00"/>
    <x v="9"/>
    <x v="8"/>
    <s v="Mobile"/>
    <n v="11"/>
    <n v="15587"/>
    <x v="4"/>
    <x v="3"/>
  </r>
  <r>
    <d v="2023-08-31T00:00:00"/>
    <x v="9"/>
    <x v="5"/>
    <s v="Electronics"/>
    <n v="19"/>
    <n v="10583"/>
    <x v="2"/>
    <x v="4"/>
  </r>
  <r>
    <d v="2025-11-26T00:00:00"/>
    <x v="0"/>
    <x v="7"/>
    <s v="Computers"/>
    <n v="6"/>
    <n v="5970"/>
    <x v="3"/>
    <x v="6"/>
  </r>
  <r>
    <d v="2025-06-18T00:00:00"/>
    <x v="2"/>
    <x v="5"/>
    <s v="Electronics"/>
    <n v="20"/>
    <n v="28820"/>
    <x v="4"/>
    <x v="6"/>
  </r>
  <r>
    <d v="2023-06-27T00:00:00"/>
    <x v="2"/>
    <x v="3"/>
    <s v="Mobile"/>
    <n v="10"/>
    <n v="19870"/>
    <x v="2"/>
    <x v="7"/>
  </r>
  <r>
    <d v="2025-02-13T00:00:00"/>
    <x v="10"/>
    <x v="7"/>
    <s v="Computers"/>
    <n v="3"/>
    <n v="666"/>
    <x v="2"/>
    <x v="6"/>
  </r>
  <r>
    <d v="2025-12-20T00:00:00"/>
    <x v="8"/>
    <x v="6"/>
    <s v="Accessories"/>
    <n v="7"/>
    <n v="6615"/>
    <x v="1"/>
    <x v="3"/>
  </r>
  <r>
    <d v="2025-03-04T00:00:00"/>
    <x v="11"/>
    <x v="4"/>
    <s v="Accessories"/>
    <n v="20"/>
    <n v="38600"/>
    <x v="4"/>
    <x v="2"/>
  </r>
  <r>
    <d v="2024-04-01T00:00:00"/>
    <x v="7"/>
    <x v="1"/>
    <s v="Accessories"/>
    <n v="17"/>
    <n v="24004"/>
    <x v="0"/>
    <x v="4"/>
  </r>
  <r>
    <d v="2023-02-16T00:00:00"/>
    <x v="10"/>
    <x v="2"/>
    <s v="Computers"/>
    <n v="4"/>
    <n v="5316"/>
    <x v="3"/>
    <x v="7"/>
  </r>
  <r>
    <d v="2023-11-17T00:00:00"/>
    <x v="0"/>
    <x v="6"/>
    <s v="Accessories"/>
    <n v="6"/>
    <n v="10128"/>
    <x v="0"/>
    <x v="3"/>
  </r>
  <r>
    <d v="2025-09-12T00:00:00"/>
    <x v="4"/>
    <x v="6"/>
    <s v="Accessories"/>
    <n v="4"/>
    <n v="2520"/>
    <x v="4"/>
    <x v="6"/>
  </r>
  <r>
    <d v="2023-07-17T00:00:00"/>
    <x v="3"/>
    <x v="3"/>
    <s v="Mobile"/>
    <n v="10"/>
    <n v="12010"/>
    <x v="2"/>
    <x v="3"/>
  </r>
  <r>
    <d v="2025-10-27T00:00:00"/>
    <x v="6"/>
    <x v="4"/>
    <s v="Accessories"/>
    <n v="2"/>
    <n v="3966"/>
    <x v="0"/>
    <x v="1"/>
  </r>
  <r>
    <d v="2023-10-26T00:00:00"/>
    <x v="6"/>
    <x v="6"/>
    <s v="Accessories"/>
    <n v="8"/>
    <n v="13664"/>
    <x v="2"/>
    <x v="5"/>
  </r>
  <r>
    <d v="2024-12-02T00:00:00"/>
    <x v="8"/>
    <x v="7"/>
    <s v="Computers"/>
    <n v="13"/>
    <n v="24921"/>
    <x v="4"/>
    <x v="5"/>
  </r>
  <r>
    <d v="2023-10-05T00:00:00"/>
    <x v="6"/>
    <x v="6"/>
    <s v="Accessories"/>
    <n v="15"/>
    <n v="25650"/>
    <x v="4"/>
    <x v="1"/>
  </r>
  <r>
    <d v="2024-12-29T00:00:00"/>
    <x v="8"/>
    <x v="4"/>
    <s v="Accessories"/>
    <n v="7"/>
    <n v="6685"/>
    <x v="2"/>
    <x v="7"/>
  </r>
  <r>
    <d v="2024-04-14T00:00:00"/>
    <x v="7"/>
    <x v="5"/>
    <s v="Electronics"/>
    <n v="15"/>
    <n v="17235"/>
    <x v="2"/>
    <x v="3"/>
  </r>
  <r>
    <d v="2025-03-07T00:00:00"/>
    <x v="11"/>
    <x v="4"/>
    <s v="Accessories"/>
    <n v="17"/>
    <n v="9299"/>
    <x v="0"/>
    <x v="5"/>
  </r>
  <r>
    <d v="2024-02-29T00:00:00"/>
    <x v="10"/>
    <x v="0"/>
    <s v="Office"/>
    <n v="8"/>
    <n v="5912"/>
    <x v="4"/>
    <x v="4"/>
  </r>
  <r>
    <d v="2025-06-08T00:00:00"/>
    <x v="2"/>
    <x v="7"/>
    <s v="Computers"/>
    <n v="4"/>
    <n v="1212"/>
    <x v="3"/>
    <x v="0"/>
  </r>
  <r>
    <d v="2025-10-29T00:00:00"/>
    <x v="6"/>
    <x v="2"/>
    <s v="Computers"/>
    <n v="18"/>
    <n v="15570"/>
    <x v="3"/>
    <x v="6"/>
  </r>
  <r>
    <d v="2023-09-16T00:00:00"/>
    <x v="4"/>
    <x v="8"/>
    <s v="Mobile"/>
    <n v="19"/>
    <n v="28690"/>
    <x v="0"/>
    <x v="0"/>
  </r>
  <r>
    <d v="2025-09-20T00:00:00"/>
    <x v="4"/>
    <x v="0"/>
    <s v="Office"/>
    <n v="17"/>
    <n v="16796"/>
    <x v="1"/>
    <x v="2"/>
  </r>
  <r>
    <d v="2024-05-06T00:00:00"/>
    <x v="1"/>
    <x v="2"/>
    <s v="Computers"/>
    <n v="20"/>
    <n v="16700"/>
    <x v="4"/>
    <x v="3"/>
  </r>
  <r>
    <d v="2024-05-22T00:00:00"/>
    <x v="1"/>
    <x v="8"/>
    <s v="Mobile"/>
    <n v="3"/>
    <n v="3213"/>
    <x v="3"/>
    <x v="1"/>
  </r>
  <r>
    <d v="2024-08-16T00:00:00"/>
    <x v="9"/>
    <x v="2"/>
    <s v="Computers"/>
    <n v="8"/>
    <n v="7736"/>
    <x v="3"/>
    <x v="4"/>
  </r>
  <r>
    <d v="2024-03-09T00:00:00"/>
    <x v="11"/>
    <x v="2"/>
    <s v="Computers"/>
    <n v="10"/>
    <n v="16060"/>
    <x v="1"/>
    <x v="7"/>
  </r>
  <r>
    <d v="2023-06-29T00:00:00"/>
    <x v="2"/>
    <x v="2"/>
    <s v="Computers"/>
    <n v="8"/>
    <n v="5808"/>
    <x v="1"/>
    <x v="3"/>
  </r>
  <r>
    <d v="2025-05-09T00:00:00"/>
    <x v="1"/>
    <x v="1"/>
    <s v="Accessories"/>
    <n v="7"/>
    <n v="4788"/>
    <x v="3"/>
    <x v="5"/>
  </r>
  <r>
    <d v="2024-05-09T00:00:00"/>
    <x v="1"/>
    <x v="1"/>
    <s v="Accessories"/>
    <n v="19"/>
    <n v="25726"/>
    <x v="2"/>
    <x v="6"/>
  </r>
  <r>
    <d v="2023-09-28T00:00:00"/>
    <x v="4"/>
    <x v="8"/>
    <s v="Mobile"/>
    <n v="10"/>
    <n v="16490"/>
    <x v="4"/>
    <x v="3"/>
  </r>
  <r>
    <d v="2025-07-05T00:00:00"/>
    <x v="3"/>
    <x v="5"/>
    <s v="Electronics"/>
    <n v="5"/>
    <n v="760"/>
    <x v="2"/>
    <x v="4"/>
  </r>
  <r>
    <d v="2023-11-09T00:00:00"/>
    <x v="0"/>
    <x v="3"/>
    <s v="Mobile"/>
    <n v="12"/>
    <n v="21372"/>
    <x v="0"/>
    <x v="2"/>
  </r>
  <r>
    <d v="2024-10-02T00:00:00"/>
    <x v="6"/>
    <x v="7"/>
    <s v="Computers"/>
    <n v="13"/>
    <n v="10530"/>
    <x v="2"/>
    <x v="3"/>
  </r>
  <r>
    <d v="2025-10-07T00:00:00"/>
    <x v="6"/>
    <x v="0"/>
    <s v="Office"/>
    <n v="16"/>
    <n v="11024"/>
    <x v="2"/>
    <x v="5"/>
  </r>
  <r>
    <d v="2023-05-07T00:00:00"/>
    <x v="1"/>
    <x v="5"/>
    <s v="Electronics"/>
    <n v="13"/>
    <n v="4056"/>
    <x v="1"/>
    <x v="0"/>
  </r>
  <r>
    <d v="2025-01-06T00:00:00"/>
    <x v="5"/>
    <x v="3"/>
    <s v="Mobile"/>
    <n v="12"/>
    <n v="6948"/>
    <x v="4"/>
    <x v="5"/>
  </r>
  <r>
    <d v="2023-08-19T00:00:00"/>
    <x v="9"/>
    <x v="6"/>
    <s v="Accessories"/>
    <n v="15"/>
    <n v="23820"/>
    <x v="4"/>
    <x v="5"/>
  </r>
  <r>
    <d v="2023-09-07T00:00:00"/>
    <x v="4"/>
    <x v="3"/>
    <s v="Mobile"/>
    <n v="14"/>
    <n v="26894"/>
    <x v="1"/>
    <x v="0"/>
  </r>
  <r>
    <d v="2023-01-04T00:00:00"/>
    <x v="5"/>
    <x v="6"/>
    <s v="Accessories"/>
    <n v="20"/>
    <n v="34840"/>
    <x v="1"/>
    <x v="2"/>
  </r>
  <r>
    <d v="2024-05-14T00:00:00"/>
    <x v="1"/>
    <x v="7"/>
    <s v="Computers"/>
    <n v="16"/>
    <n v="16416"/>
    <x v="3"/>
    <x v="2"/>
  </r>
  <r>
    <d v="2024-03-26T00:00:00"/>
    <x v="11"/>
    <x v="7"/>
    <s v="Computers"/>
    <n v="20"/>
    <n v="37980"/>
    <x v="3"/>
    <x v="3"/>
  </r>
  <r>
    <d v="2024-02-13T00:00:00"/>
    <x v="10"/>
    <x v="9"/>
    <s v="Wearables"/>
    <n v="14"/>
    <n v="17402"/>
    <x v="2"/>
    <x v="7"/>
  </r>
  <r>
    <d v="2023-04-12T00:00:00"/>
    <x v="7"/>
    <x v="2"/>
    <s v="Computers"/>
    <n v="10"/>
    <n v="18170"/>
    <x v="0"/>
    <x v="5"/>
  </r>
  <r>
    <d v="2024-07-26T00:00:00"/>
    <x v="3"/>
    <x v="4"/>
    <s v="Accessories"/>
    <n v="8"/>
    <n v="9832"/>
    <x v="3"/>
    <x v="4"/>
  </r>
  <r>
    <d v="2024-07-31T00:00:00"/>
    <x v="3"/>
    <x v="7"/>
    <s v="Computers"/>
    <n v="8"/>
    <n v="11800"/>
    <x v="3"/>
    <x v="3"/>
  </r>
  <r>
    <d v="2025-07-22T00:00:00"/>
    <x v="3"/>
    <x v="1"/>
    <s v="Accessories"/>
    <n v="1"/>
    <n v="225"/>
    <x v="4"/>
    <x v="5"/>
  </r>
  <r>
    <d v="2025-07-20T00:00:00"/>
    <x v="3"/>
    <x v="8"/>
    <s v="Mobile"/>
    <n v="3"/>
    <n v="1014"/>
    <x v="3"/>
    <x v="1"/>
  </r>
  <r>
    <d v="2023-06-20T00:00:00"/>
    <x v="2"/>
    <x v="2"/>
    <s v="Computers"/>
    <n v="2"/>
    <n v="3074"/>
    <x v="0"/>
    <x v="7"/>
  </r>
  <r>
    <d v="2024-02-14T00:00:00"/>
    <x v="10"/>
    <x v="1"/>
    <s v="Accessories"/>
    <n v="18"/>
    <n v="14490"/>
    <x v="0"/>
    <x v="0"/>
  </r>
  <r>
    <d v="2023-04-06T00:00:00"/>
    <x v="7"/>
    <x v="9"/>
    <s v="Wearables"/>
    <n v="14"/>
    <n v="20384"/>
    <x v="4"/>
    <x v="6"/>
  </r>
  <r>
    <d v="2023-08-05T00:00:00"/>
    <x v="9"/>
    <x v="1"/>
    <s v="Accessories"/>
    <n v="4"/>
    <n v="244"/>
    <x v="1"/>
    <x v="5"/>
  </r>
  <r>
    <d v="2024-04-11T00:00:00"/>
    <x v="7"/>
    <x v="5"/>
    <s v="Electronics"/>
    <n v="19"/>
    <n v="30248"/>
    <x v="1"/>
    <x v="4"/>
  </r>
  <r>
    <d v="2023-08-19T00:00:00"/>
    <x v="9"/>
    <x v="4"/>
    <s v="Accessories"/>
    <n v="6"/>
    <n v="3114"/>
    <x v="1"/>
    <x v="5"/>
  </r>
  <r>
    <d v="2023-04-03T00:00:00"/>
    <x v="7"/>
    <x v="6"/>
    <s v="Accessories"/>
    <n v="2"/>
    <n v="1742"/>
    <x v="3"/>
    <x v="3"/>
  </r>
  <r>
    <d v="2023-11-10T00:00:00"/>
    <x v="0"/>
    <x v="9"/>
    <s v="Wearables"/>
    <n v="18"/>
    <n v="30672"/>
    <x v="3"/>
    <x v="3"/>
  </r>
  <r>
    <d v="2024-01-12T00:00:00"/>
    <x v="5"/>
    <x v="6"/>
    <s v="Accessories"/>
    <n v="8"/>
    <n v="3152"/>
    <x v="4"/>
    <x v="1"/>
  </r>
  <r>
    <d v="2023-03-07T00:00:00"/>
    <x v="11"/>
    <x v="8"/>
    <s v="Mobile"/>
    <n v="19"/>
    <n v="22857"/>
    <x v="0"/>
    <x v="2"/>
  </r>
  <r>
    <d v="2024-08-10T00:00:00"/>
    <x v="9"/>
    <x v="8"/>
    <s v="Mobile"/>
    <n v="17"/>
    <n v="12121"/>
    <x v="4"/>
    <x v="4"/>
  </r>
  <r>
    <d v="2025-03-18T00:00:00"/>
    <x v="11"/>
    <x v="3"/>
    <s v="Mobile"/>
    <n v="3"/>
    <n v="1950"/>
    <x v="4"/>
    <x v="7"/>
  </r>
  <r>
    <d v="2025-11-19T00:00:00"/>
    <x v="0"/>
    <x v="5"/>
    <s v="Electronics"/>
    <n v="5"/>
    <n v="6430"/>
    <x v="0"/>
    <x v="2"/>
  </r>
  <r>
    <d v="2025-06-22T00:00:00"/>
    <x v="2"/>
    <x v="2"/>
    <s v="Computers"/>
    <n v="8"/>
    <n v="5296"/>
    <x v="1"/>
    <x v="2"/>
  </r>
  <r>
    <d v="2024-08-09T00:00:00"/>
    <x v="9"/>
    <x v="6"/>
    <s v="Accessories"/>
    <n v="17"/>
    <n v="7548"/>
    <x v="0"/>
    <x v="4"/>
  </r>
  <r>
    <d v="2024-06-05T00:00:00"/>
    <x v="2"/>
    <x v="8"/>
    <s v="Mobile"/>
    <n v="4"/>
    <n v="3016"/>
    <x v="4"/>
    <x v="3"/>
  </r>
  <r>
    <d v="2023-10-28T00:00:00"/>
    <x v="6"/>
    <x v="5"/>
    <s v="Electronics"/>
    <n v="18"/>
    <n v="3078"/>
    <x v="1"/>
    <x v="6"/>
  </r>
  <r>
    <d v="2023-11-11T00:00:00"/>
    <x v="0"/>
    <x v="9"/>
    <s v="Wearables"/>
    <n v="18"/>
    <n v="21906"/>
    <x v="0"/>
    <x v="4"/>
  </r>
  <r>
    <d v="2024-05-12T00:00:00"/>
    <x v="1"/>
    <x v="5"/>
    <s v="Electronics"/>
    <n v="6"/>
    <n v="7110"/>
    <x v="3"/>
    <x v="5"/>
  </r>
  <r>
    <d v="2025-10-23T00:00:00"/>
    <x v="6"/>
    <x v="7"/>
    <s v="Computers"/>
    <n v="16"/>
    <n v="9648"/>
    <x v="0"/>
    <x v="7"/>
  </r>
  <r>
    <d v="2025-05-29T00:00:00"/>
    <x v="1"/>
    <x v="7"/>
    <s v="Computers"/>
    <n v="14"/>
    <n v="1624"/>
    <x v="2"/>
    <x v="3"/>
  </r>
  <r>
    <d v="2025-02-11T00:00:00"/>
    <x v="10"/>
    <x v="4"/>
    <s v="Accessories"/>
    <n v="3"/>
    <n v="5049"/>
    <x v="2"/>
    <x v="2"/>
  </r>
  <r>
    <d v="2024-01-01T00:00:00"/>
    <x v="5"/>
    <x v="7"/>
    <s v="Computers"/>
    <n v="13"/>
    <n v="13728"/>
    <x v="1"/>
    <x v="7"/>
  </r>
  <r>
    <d v="2025-02-09T00:00:00"/>
    <x v="10"/>
    <x v="5"/>
    <s v="Electronics"/>
    <n v="5"/>
    <n v="3915"/>
    <x v="3"/>
    <x v="6"/>
  </r>
  <r>
    <d v="2025-12-06T00:00:00"/>
    <x v="8"/>
    <x v="9"/>
    <s v="Wearables"/>
    <n v="7"/>
    <n v="10374"/>
    <x v="2"/>
    <x v="5"/>
  </r>
  <r>
    <d v="2025-03-09T00:00:00"/>
    <x v="11"/>
    <x v="7"/>
    <s v="Computers"/>
    <n v="9"/>
    <n v="12537"/>
    <x v="4"/>
    <x v="3"/>
  </r>
  <r>
    <d v="2025-04-04T00:00:00"/>
    <x v="7"/>
    <x v="9"/>
    <s v="Wearables"/>
    <n v="13"/>
    <n v="9945"/>
    <x v="3"/>
    <x v="2"/>
  </r>
  <r>
    <d v="2025-02-14T00:00:00"/>
    <x v="10"/>
    <x v="2"/>
    <s v="Computers"/>
    <n v="12"/>
    <n v="4812"/>
    <x v="1"/>
    <x v="4"/>
  </r>
  <r>
    <d v="2023-08-05T00:00:00"/>
    <x v="9"/>
    <x v="6"/>
    <s v="Accessories"/>
    <n v="7"/>
    <n v="1519"/>
    <x v="1"/>
    <x v="6"/>
  </r>
  <r>
    <d v="2024-06-06T00:00:00"/>
    <x v="2"/>
    <x v="4"/>
    <s v="Accessories"/>
    <n v="8"/>
    <n v="4752"/>
    <x v="3"/>
    <x v="7"/>
  </r>
  <r>
    <d v="2024-04-05T00:00:00"/>
    <x v="7"/>
    <x v="1"/>
    <s v="Accessories"/>
    <n v="16"/>
    <n v="29728"/>
    <x v="2"/>
    <x v="0"/>
  </r>
  <r>
    <d v="2024-07-08T00:00:00"/>
    <x v="3"/>
    <x v="3"/>
    <s v="Mobile"/>
    <n v="2"/>
    <n v="3606"/>
    <x v="1"/>
    <x v="0"/>
  </r>
  <r>
    <d v="2025-01-08T00:00:00"/>
    <x v="5"/>
    <x v="4"/>
    <s v="Accessories"/>
    <n v="15"/>
    <n v="22650"/>
    <x v="3"/>
    <x v="2"/>
  </r>
  <r>
    <d v="2023-12-04T00:00:00"/>
    <x v="8"/>
    <x v="4"/>
    <s v="Accessories"/>
    <n v="7"/>
    <n v="13426"/>
    <x v="4"/>
    <x v="7"/>
  </r>
  <r>
    <d v="2025-02-27T00:00:00"/>
    <x v="10"/>
    <x v="5"/>
    <s v="Electronics"/>
    <n v="16"/>
    <n v="3376"/>
    <x v="1"/>
    <x v="2"/>
  </r>
  <r>
    <d v="2023-11-20T00:00:00"/>
    <x v="0"/>
    <x v="9"/>
    <s v="Wearables"/>
    <n v="20"/>
    <n v="14420"/>
    <x v="3"/>
    <x v="1"/>
  </r>
  <r>
    <d v="2024-10-19T00:00:00"/>
    <x v="6"/>
    <x v="3"/>
    <s v="Mobile"/>
    <n v="3"/>
    <n v="732"/>
    <x v="2"/>
    <x v="5"/>
  </r>
  <r>
    <d v="2024-07-26T00:00:00"/>
    <x v="3"/>
    <x v="7"/>
    <s v="Computers"/>
    <n v="17"/>
    <n v="15351"/>
    <x v="2"/>
    <x v="6"/>
  </r>
  <r>
    <d v="2023-08-26T00:00:00"/>
    <x v="9"/>
    <x v="9"/>
    <s v="Wearables"/>
    <n v="7"/>
    <n v="8694"/>
    <x v="4"/>
    <x v="0"/>
  </r>
  <r>
    <d v="2023-07-27T00:00:00"/>
    <x v="3"/>
    <x v="4"/>
    <s v="Accessories"/>
    <n v="10"/>
    <n v="13270"/>
    <x v="3"/>
    <x v="6"/>
  </r>
  <r>
    <d v="2025-07-21T00:00:00"/>
    <x v="3"/>
    <x v="6"/>
    <s v="Accessories"/>
    <n v="3"/>
    <n v="4662"/>
    <x v="3"/>
    <x v="5"/>
  </r>
  <r>
    <d v="2025-10-09T00:00:00"/>
    <x v="6"/>
    <x v="2"/>
    <s v="Computers"/>
    <n v="2"/>
    <n v="1276"/>
    <x v="2"/>
    <x v="2"/>
  </r>
  <r>
    <d v="2023-06-29T00:00:00"/>
    <x v="2"/>
    <x v="7"/>
    <s v="Computers"/>
    <n v="15"/>
    <n v="19140"/>
    <x v="2"/>
    <x v="2"/>
  </r>
  <r>
    <d v="2024-12-30T00:00:00"/>
    <x v="8"/>
    <x v="5"/>
    <s v="Electronics"/>
    <n v="9"/>
    <n v="12240"/>
    <x v="0"/>
    <x v="3"/>
  </r>
  <r>
    <d v="2025-07-18T00:00:00"/>
    <x v="3"/>
    <x v="9"/>
    <s v="Wearables"/>
    <n v="17"/>
    <n v="22984"/>
    <x v="4"/>
    <x v="5"/>
  </r>
  <r>
    <d v="2023-11-24T00:00:00"/>
    <x v="0"/>
    <x v="9"/>
    <s v="Wearables"/>
    <n v="2"/>
    <n v="3184"/>
    <x v="0"/>
    <x v="4"/>
  </r>
  <r>
    <d v="2025-12-26T00:00:00"/>
    <x v="8"/>
    <x v="2"/>
    <s v="Computers"/>
    <n v="10"/>
    <n v="660"/>
    <x v="0"/>
    <x v="5"/>
  </r>
  <r>
    <d v="2025-12-31T00:00:00"/>
    <x v="8"/>
    <x v="1"/>
    <s v="Accessories"/>
    <n v="17"/>
    <n v="12189"/>
    <x v="4"/>
    <x v="4"/>
  </r>
  <r>
    <d v="2024-11-21T00:00:00"/>
    <x v="0"/>
    <x v="7"/>
    <s v="Computers"/>
    <n v="1"/>
    <n v="1502"/>
    <x v="4"/>
    <x v="7"/>
  </r>
  <r>
    <d v="2023-10-15T00:00:00"/>
    <x v="6"/>
    <x v="9"/>
    <s v="Wearables"/>
    <n v="7"/>
    <n v="2044"/>
    <x v="1"/>
    <x v="1"/>
  </r>
  <r>
    <d v="2025-01-09T00:00:00"/>
    <x v="5"/>
    <x v="9"/>
    <s v="Wearables"/>
    <n v="1"/>
    <n v="1826"/>
    <x v="2"/>
    <x v="5"/>
  </r>
  <r>
    <d v="2024-08-03T00:00:00"/>
    <x v="9"/>
    <x v="7"/>
    <s v="Computers"/>
    <n v="4"/>
    <n v="4584"/>
    <x v="4"/>
    <x v="6"/>
  </r>
  <r>
    <d v="2023-12-11T00:00:00"/>
    <x v="8"/>
    <x v="1"/>
    <s v="Accessories"/>
    <n v="15"/>
    <n v="5565"/>
    <x v="3"/>
    <x v="5"/>
  </r>
  <r>
    <d v="2025-08-17T00:00:00"/>
    <x v="9"/>
    <x v="5"/>
    <s v="Electronics"/>
    <n v="8"/>
    <n v="6552"/>
    <x v="3"/>
    <x v="1"/>
  </r>
  <r>
    <d v="2025-01-19T00:00:00"/>
    <x v="5"/>
    <x v="5"/>
    <s v="Electronics"/>
    <n v="9"/>
    <n v="3123"/>
    <x v="0"/>
    <x v="5"/>
  </r>
  <r>
    <d v="2023-12-04T00:00:00"/>
    <x v="8"/>
    <x v="1"/>
    <s v="Accessories"/>
    <n v="17"/>
    <n v="22814"/>
    <x v="3"/>
    <x v="3"/>
  </r>
  <r>
    <d v="2024-06-03T00:00:00"/>
    <x v="2"/>
    <x v="2"/>
    <s v="Computers"/>
    <n v="18"/>
    <n v="35424"/>
    <x v="1"/>
    <x v="2"/>
  </r>
  <r>
    <d v="2023-12-23T00:00:00"/>
    <x v="8"/>
    <x v="5"/>
    <s v="Electronics"/>
    <n v="12"/>
    <n v="20856"/>
    <x v="1"/>
    <x v="0"/>
  </r>
  <r>
    <d v="2025-05-13T00:00:00"/>
    <x v="1"/>
    <x v="0"/>
    <s v="Office"/>
    <n v="11"/>
    <n v="12320"/>
    <x v="3"/>
    <x v="6"/>
  </r>
  <r>
    <d v="2025-06-30T00:00:00"/>
    <x v="2"/>
    <x v="1"/>
    <s v="Accessories"/>
    <n v="4"/>
    <n v="3876"/>
    <x v="3"/>
    <x v="1"/>
  </r>
  <r>
    <d v="2024-03-20T00:00:00"/>
    <x v="11"/>
    <x v="2"/>
    <s v="Computers"/>
    <n v="17"/>
    <n v="5797"/>
    <x v="2"/>
    <x v="0"/>
  </r>
  <r>
    <d v="2024-06-03T00:00:00"/>
    <x v="2"/>
    <x v="6"/>
    <s v="Accessories"/>
    <n v="1"/>
    <n v="378"/>
    <x v="4"/>
    <x v="1"/>
  </r>
  <r>
    <d v="2024-01-26T00:00:00"/>
    <x v="5"/>
    <x v="9"/>
    <s v="Wearables"/>
    <n v="16"/>
    <n v="25392"/>
    <x v="4"/>
    <x v="5"/>
  </r>
  <r>
    <d v="2025-12-29T00:00:00"/>
    <x v="8"/>
    <x v="2"/>
    <s v="Computers"/>
    <n v="17"/>
    <n v="30702"/>
    <x v="2"/>
    <x v="4"/>
  </r>
  <r>
    <d v="2025-10-30T00:00:00"/>
    <x v="6"/>
    <x v="0"/>
    <s v="Office"/>
    <n v="5"/>
    <n v="2330"/>
    <x v="0"/>
    <x v="4"/>
  </r>
  <r>
    <d v="2025-02-24T00:00:00"/>
    <x v="10"/>
    <x v="7"/>
    <s v="Computers"/>
    <n v="9"/>
    <n v="5328"/>
    <x v="2"/>
    <x v="0"/>
  </r>
  <r>
    <d v="2024-03-21T00:00:00"/>
    <x v="11"/>
    <x v="4"/>
    <s v="Accessories"/>
    <n v="1"/>
    <n v="1592"/>
    <x v="3"/>
    <x v="3"/>
  </r>
  <r>
    <d v="2024-11-27T00:00:00"/>
    <x v="0"/>
    <x v="0"/>
    <s v="Office"/>
    <n v="19"/>
    <n v="16549"/>
    <x v="0"/>
    <x v="0"/>
  </r>
  <r>
    <d v="2023-04-08T00:00:00"/>
    <x v="7"/>
    <x v="3"/>
    <s v="Mobile"/>
    <n v="8"/>
    <n v="2224"/>
    <x v="0"/>
    <x v="4"/>
  </r>
  <r>
    <d v="2025-05-25T00:00:00"/>
    <x v="1"/>
    <x v="0"/>
    <s v="Office"/>
    <n v="8"/>
    <n v="15112"/>
    <x v="4"/>
    <x v="3"/>
  </r>
  <r>
    <d v="2024-08-05T00:00:00"/>
    <x v="9"/>
    <x v="1"/>
    <s v="Accessories"/>
    <n v="4"/>
    <n v="820"/>
    <x v="1"/>
    <x v="7"/>
  </r>
  <r>
    <d v="2025-10-23T00:00:00"/>
    <x v="6"/>
    <x v="4"/>
    <s v="Accessories"/>
    <n v="6"/>
    <n v="4794"/>
    <x v="4"/>
    <x v="5"/>
  </r>
  <r>
    <d v="2025-07-19T00:00:00"/>
    <x v="3"/>
    <x v="2"/>
    <s v="Computers"/>
    <n v="6"/>
    <n v="6756"/>
    <x v="0"/>
    <x v="2"/>
  </r>
  <r>
    <d v="2024-04-27T00:00:00"/>
    <x v="7"/>
    <x v="9"/>
    <s v="Wearables"/>
    <n v="1"/>
    <n v="1768"/>
    <x v="4"/>
    <x v="4"/>
  </r>
  <r>
    <d v="2025-06-12T00:00:00"/>
    <x v="2"/>
    <x v="3"/>
    <s v="Mobile"/>
    <n v="3"/>
    <n v="1395"/>
    <x v="3"/>
    <x v="6"/>
  </r>
  <r>
    <d v="2025-02-15T00:00:00"/>
    <x v="10"/>
    <x v="3"/>
    <s v="Mobile"/>
    <n v="2"/>
    <n v="2472"/>
    <x v="0"/>
    <x v="7"/>
  </r>
  <r>
    <d v="2023-07-29T00:00:00"/>
    <x v="3"/>
    <x v="1"/>
    <s v="Accessories"/>
    <n v="11"/>
    <n v="979"/>
    <x v="0"/>
    <x v="0"/>
  </r>
  <r>
    <d v="2023-12-14T00:00:00"/>
    <x v="8"/>
    <x v="4"/>
    <s v="Accessories"/>
    <n v="1"/>
    <n v="1161"/>
    <x v="2"/>
    <x v="1"/>
  </r>
  <r>
    <d v="2023-12-16T00:00:00"/>
    <x v="8"/>
    <x v="9"/>
    <s v="Wearables"/>
    <n v="1"/>
    <n v="1470"/>
    <x v="3"/>
    <x v="1"/>
  </r>
  <r>
    <d v="2023-09-16T00:00:00"/>
    <x v="4"/>
    <x v="4"/>
    <s v="Accessories"/>
    <n v="11"/>
    <n v="1012"/>
    <x v="2"/>
    <x v="5"/>
  </r>
  <r>
    <d v="2023-01-02T00:00:00"/>
    <x v="5"/>
    <x v="8"/>
    <s v="Mobile"/>
    <n v="12"/>
    <n v="18996"/>
    <x v="4"/>
    <x v="4"/>
  </r>
  <r>
    <d v="2024-06-05T00:00:00"/>
    <x v="2"/>
    <x v="3"/>
    <s v="Mobile"/>
    <n v="11"/>
    <n v="2299"/>
    <x v="1"/>
    <x v="2"/>
  </r>
  <r>
    <d v="2025-06-04T00:00:00"/>
    <x v="2"/>
    <x v="6"/>
    <s v="Accessories"/>
    <n v="12"/>
    <n v="10320"/>
    <x v="1"/>
    <x v="3"/>
  </r>
  <r>
    <d v="2025-08-27T00:00:00"/>
    <x v="9"/>
    <x v="6"/>
    <s v="Accessories"/>
    <n v="8"/>
    <n v="13096"/>
    <x v="2"/>
    <x v="5"/>
  </r>
  <r>
    <d v="2025-01-13T00:00:00"/>
    <x v="5"/>
    <x v="6"/>
    <s v="Accessories"/>
    <n v="8"/>
    <n v="13256"/>
    <x v="3"/>
    <x v="0"/>
  </r>
  <r>
    <d v="2023-07-04T00:00:00"/>
    <x v="3"/>
    <x v="8"/>
    <s v="Mobile"/>
    <n v="15"/>
    <n v="8085"/>
    <x v="1"/>
    <x v="4"/>
  </r>
  <r>
    <d v="2025-09-10T00:00:00"/>
    <x v="4"/>
    <x v="3"/>
    <s v="Mobile"/>
    <n v="12"/>
    <n v="6708"/>
    <x v="0"/>
    <x v="6"/>
  </r>
  <r>
    <d v="2024-03-21T00:00:00"/>
    <x v="11"/>
    <x v="8"/>
    <s v="Mobile"/>
    <n v="2"/>
    <n v="1686"/>
    <x v="0"/>
    <x v="4"/>
  </r>
  <r>
    <d v="2024-03-15T00:00:00"/>
    <x v="11"/>
    <x v="9"/>
    <s v="Wearables"/>
    <n v="6"/>
    <n v="2346"/>
    <x v="2"/>
    <x v="0"/>
  </r>
  <r>
    <d v="2024-08-03T00:00:00"/>
    <x v="9"/>
    <x v="7"/>
    <s v="Computers"/>
    <n v="19"/>
    <n v="5472"/>
    <x v="1"/>
    <x v="4"/>
  </r>
  <r>
    <d v="2024-11-21T00:00:00"/>
    <x v="0"/>
    <x v="9"/>
    <s v="Wearables"/>
    <n v="20"/>
    <n v="29680"/>
    <x v="1"/>
    <x v="7"/>
  </r>
  <r>
    <d v="2023-01-29T00:00:00"/>
    <x v="5"/>
    <x v="3"/>
    <s v="Mobile"/>
    <n v="5"/>
    <n v="7390"/>
    <x v="2"/>
    <x v="3"/>
  </r>
  <r>
    <d v="2023-01-26T00:00:00"/>
    <x v="5"/>
    <x v="7"/>
    <s v="Computers"/>
    <n v="12"/>
    <n v="13752"/>
    <x v="3"/>
    <x v="6"/>
  </r>
  <r>
    <d v="2024-06-17T00:00:00"/>
    <x v="2"/>
    <x v="5"/>
    <s v="Electronics"/>
    <n v="20"/>
    <n v="32840"/>
    <x v="2"/>
    <x v="1"/>
  </r>
  <r>
    <d v="2024-02-29T00:00:00"/>
    <x v="10"/>
    <x v="0"/>
    <s v="Office"/>
    <n v="15"/>
    <n v="5850"/>
    <x v="0"/>
    <x v="0"/>
  </r>
  <r>
    <d v="2023-05-21T00:00:00"/>
    <x v="1"/>
    <x v="3"/>
    <s v="Mobile"/>
    <n v="8"/>
    <n v="12536"/>
    <x v="3"/>
    <x v="2"/>
  </r>
  <r>
    <d v="2025-02-25T00:00:00"/>
    <x v="10"/>
    <x v="2"/>
    <s v="Computers"/>
    <n v="14"/>
    <n v="8554"/>
    <x v="0"/>
    <x v="1"/>
  </r>
  <r>
    <d v="2023-10-28T00:00:00"/>
    <x v="6"/>
    <x v="5"/>
    <s v="Electronics"/>
    <n v="1"/>
    <n v="486"/>
    <x v="2"/>
    <x v="5"/>
  </r>
  <r>
    <d v="2023-03-17T00:00:00"/>
    <x v="11"/>
    <x v="9"/>
    <s v="Wearables"/>
    <n v="1"/>
    <n v="1926"/>
    <x v="0"/>
    <x v="7"/>
  </r>
  <r>
    <d v="2024-01-18T00:00:00"/>
    <x v="5"/>
    <x v="9"/>
    <s v="Wearables"/>
    <n v="14"/>
    <n v="7532"/>
    <x v="2"/>
    <x v="6"/>
  </r>
  <r>
    <d v="2024-03-18T00:00:00"/>
    <x v="11"/>
    <x v="4"/>
    <s v="Accessories"/>
    <n v="5"/>
    <n v="1825"/>
    <x v="0"/>
    <x v="1"/>
  </r>
  <r>
    <d v="2025-08-13T00:00:00"/>
    <x v="9"/>
    <x v="4"/>
    <s v="Accessories"/>
    <n v="8"/>
    <n v="1440"/>
    <x v="3"/>
    <x v="2"/>
  </r>
  <r>
    <d v="2025-10-10T00:00:00"/>
    <x v="6"/>
    <x v="3"/>
    <s v="Mobile"/>
    <n v="8"/>
    <n v="5808"/>
    <x v="3"/>
    <x v="0"/>
  </r>
  <r>
    <d v="2024-11-03T00:00:00"/>
    <x v="0"/>
    <x v="5"/>
    <s v="Electronics"/>
    <n v="4"/>
    <n v="1652"/>
    <x v="3"/>
    <x v="7"/>
  </r>
  <r>
    <d v="2024-02-25T00:00:00"/>
    <x v="10"/>
    <x v="2"/>
    <s v="Computers"/>
    <n v="17"/>
    <n v="8092"/>
    <x v="2"/>
    <x v="6"/>
  </r>
  <r>
    <d v="2025-03-01T00:00:00"/>
    <x v="11"/>
    <x v="4"/>
    <s v="Accessories"/>
    <n v="8"/>
    <n v="7976"/>
    <x v="2"/>
    <x v="5"/>
  </r>
  <r>
    <d v="2024-08-19T00:00:00"/>
    <x v="9"/>
    <x v="3"/>
    <s v="Mobile"/>
    <n v="5"/>
    <n v="2275"/>
    <x v="0"/>
    <x v="6"/>
  </r>
  <r>
    <d v="2023-02-06T00:00:00"/>
    <x v="10"/>
    <x v="7"/>
    <s v="Computers"/>
    <n v="11"/>
    <n v="15884"/>
    <x v="4"/>
    <x v="5"/>
  </r>
  <r>
    <d v="2024-02-27T00:00:00"/>
    <x v="10"/>
    <x v="0"/>
    <s v="Office"/>
    <n v="18"/>
    <n v="35046"/>
    <x v="1"/>
    <x v="7"/>
  </r>
  <r>
    <d v="2024-02-21T00:00:00"/>
    <x v="10"/>
    <x v="3"/>
    <s v="Mobile"/>
    <n v="15"/>
    <n v="12240"/>
    <x v="3"/>
    <x v="7"/>
  </r>
  <r>
    <d v="2025-05-18T00:00:00"/>
    <x v="1"/>
    <x v="6"/>
    <s v="Accessories"/>
    <n v="1"/>
    <n v="560"/>
    <x v="2"/>
    <x v="0"/>
  </r>
  <r>
    <d v="2025-06-12T00:00:00"/>
    <x v="2"/>
    <x v="7"/>
    <s v="Computers"/>
    <n v="15"/>
    <n v="900"/>
    <x v="3"/>
    <x v="0"/>
  </r>
  <r>
    <d v="2023-12-22T00:00:00"/>
    <x v="8"/>
    <x v="7"/>
    <s v="Computers"/>
    <n v="1"/>
    <n v="928"/>
    <x v="0"/>
    <x v="6"/>
  </r>
  <r>
    <d v="2023-12-26T00:00:00"/>
    <x v="8"/>
    <x v="9"/>
    <s v="Wearables"/>
    <n v="12"/>
    <n v="5448"/>
    <x v="0"/>
    <x v="7"/>
  </r>
  <r>
    <d v="2025-04-07T00:00:00"/>
    <x v="7"/>
    <x v="4"/>
    <s v="Accessories"/>
    <n v="19"/>
    <n v="34029"/>
    <x v="0"/>
    <x v="3"/>
  </r>
  <r>
    <d v="2024-01-18T00:00:00"/>
    <x v="5"/>
    <x v="8"/>
    <s v="Mobile"/>
    <n v="3"/>
    <n v="4173"/>
    <x v="0"/>
    <x v="2"/>
  </r>
  <r>
    <d v="2025-01-17T00:00:00"/>
    <x v="5"/>
    <x v="3"/>
    <s v="Mobile"/>
    <n v="1"/>
    <n v="1886"/>
    <x v="2"/>
    <x v="1"/>
  </r>
  <r>
    <d v="2024-09-16T00:00:00"/>
    <x v="4"/>
    <x v="3"/>
    <s v="Mobile"/>
    <n v="1"/>
    <n v="808"/>
    <x v="2"/>
    <x v="3"/>
  </r>
  <r>
    <d v="2025-08-02T00:00:00"/>
    <x v="9"/>
    <x v="2"/>
    <s v="Computers"/>
    <n v="3"/>
    <n v="5940"/>
    <x v="1"/>
    <x v="5"/>
  </r>
  <r>
    <d v="2025-01-18T00:00:00"/>
    <x v="5"/>
    <x v="6"/>
    <s v="Accessories"/>
    <n v="11"/>
    <n v="1177"/>
    <x v="3"/>
    <x v="5"/>
  </r>
  <r>
    <d v="2023-01-05T00:00:00"/>
    <x v="5"/>
    <x v="2"/>
    <s v="Computers"/>
    <n v="2"/>
    <n v="3750"/>
    <x v="1"/>
    <x v="5"/>
  </r>
  <r>
    <d v="2024-08-21T00:00:00"/>
    <x v="9"/>
    <x v="6"/>
    <s v="Accessories"/>
    <n v="4"/>
    <n v="4716"/>
    <x v="1"/>
    <x v="6"/>
  </r>
  <r>
    <d v="2025-01-08T00:00:00"/>
    <x v="5"/>
    <x v="9"/>
    <s v="Wearables"/>
    <n v="10"/>
    <n v="11120"/>
    <x v="4"/>
    <x v="7"/>
  </r>
  <r>
    <d v="2023-07-14T00:00:00"/>
    <x v="3"/>
    <x v="4"/>
    <s v="Accessories"/>
    <n v="3"/>
    <n v="1077"/>
    <x v="0"/>
    <x v="6"/>
  </r>
  <r>
    <d v="2025-12-31T00:00:00"/>
    <x v="8"/>
    <x v="6"/>
    <s v="Accessories"/>
    <n v="8"/>
    <n v="600"/>
    <x v="3"/>
    <x v="6"/>
  </r>
  <r>
    <d v="2025-04-08T00:00:00"/>
    <x v="7"/>
    <x v="9"/>
    <s v="Wearables"/>
    <n v="19"/>
    <n v="13984"/>
    <x v="3"/>
    <x v="0"/>
  </r>
  <r>
    <d v="2025-06-17T00:00:00"/>
    <x v="2"/>
    <x v="9"/>
    <s v="Wearables"/>
    <n v="6"/>
    <n v="8004"/>
    <x v="1"/>
    <x v="3"/>
  </r>
  <r>
    <d v="2025-07-23T00:00:00"/>
    <x v="3"/>
    <x v="1"/>
    <s v="Accessories"/>
    <n v="15"/>
    <n v="20415"/>
    <x v="3"/>
    <x v="4"/>
  </r>
  <r>
    <d v="2024-05-27T00:00:00"/>
    <x v="1"/>
    <x v="8"/>
    <s v="Mobile"/>
    <n v="17"/>
    <n v="19788"/>
    <x v="1"/>
    <x v="2"/>
  </r>
  <r>
    <d v="2025-08-22T00:00:00"/>
    <x v="9"/>
    <x v="4"/>
    <s v="Accessories"/>
    <n v="9"/>
    <n v="2790"/>
    <x v="3"/>
    <x v="6"/>
  </r>
  <r>
    <d v="2024-08-23T00:00:00"/>
    <x v="9"/>
    <x v="4"/>
    <s v="Accessories"/>
    <n v="13"/>
    <n v="11999"/>
    <x v="2"/>
    <x v="6"/>
  </r>
  <r>
    <d v="2025-10-24T00:00:00"/>
    <x v="6"/>
    <x v="6"/>
    <s v="Accessories"/>
    <n v="16"/>
    <n v="18592"/>
    <x v="3"/>
    <x v="1"/>
  </r>
  <r>
    <d v="2025-07-11T00:00:00"/>
    <x v="3"/>
    <x v="0"/>
    <s v="Office"/>
    <n v="7"/>
    <n v="4564"/>
    <x v="0"/>
    <x v="4"/>
  </r>
  <r>
    <d v="2024-04-07T00:00:00"/>
    <x v="7"/>
    <x v="9"/>
    <s v="Wearables"/>
    <n v="12"/>
    <n v="9216"/>
    <x v="4"/>
    <x v="7"/>
  </r>
  <r>
    <d v="2023-06-19T00:00:00"/>
    <x v="2"/>
    <x v="0"/>
    <s v="Office"/>
    <n v="7"/>
    <n v="4858"/>
    <x v="1"/>
    <x v="4"/>
  </r>
  <r>
    <d v="2023-11-09T00:00:00"/>
    <x v="0"/>
    <x v="0"/>
    <s v="Office"/>
    <n v="6"/>
    <n v="2880"/>
    <x v="3"/>
    <x v="2"/>
  </r>
  <r>
    <d v="2023-12-02T00:00:00"/>
    <x v="8"/>
    <x v="0"/>
    <s v="Office"/>
    <n v="11"/>
    <n v="19943"/>
    <x v="1"/>
    <x v="6"/>
  </r>
  <r>
    <d v="2025-07-29T00:00:00"/>
    <x v="3"/>
    <x v="9"/>
    <s v="Wearables"/>
    <n v="10"/>
    <n v="16610"/>
    <x v="2"/>
    <x v="1"/>
  </r>
  <r>
    <d v="2023-06-22T00:00:00"/>
    <x v="2"/>
    <x v="9"/>
    <s v="Wearables"/>
    <n v="10"/>
    <n v="4390"/>
    <x v="0"/>
    <x v="0"/>
  </r>
  <r>
    <d v="2024-11-03T00:00:00"/>
    <x v="0"/>
    <x v="9"/>
    <s v="Wearables"/>
    <n v="18"/>
    <n v="24462"/>
    <x v="4"/>
    <x v="7"/>
  </r>
  <r>
    <d v="2024-11-05T00:00:00"/>
    <x v="0"/>
    <x v="4"/>
    <s v="Accessories"/>
    <n v="6"/>
    <n v="11892"/>
    <x v="2"/>
    <x v="1"/>
  </r>
  <r>
    <d v="2024-04-11T00:00:00"/>
    <x v="7"/>
    <x v="5"/>
    <s v="Electronics"/>
    <n v="4"/>
    <n v="352"/>
    <x v="1"/>
    <x v="6"/>
  </r>
  <r>
    <d v="2025-11-29T00:00:00"/>
    <x v="0"/>
    <x v="2"/>
    <s v="Computers"/>
    <n v="5"/>
    <n v="1985"/>
    <x v="4"/>
    <x v="6"/>
  </r>
  <r>
    <d v="2024-02-21T00:00:00"/>
    <x v="10"/>
    <x v="3"/>
    <s v="Mobile"/>
    <n v="1"/>
    <n v="269"/>
    <x v="2"/>
    <x v="4"/>
  </r>
  <r>
    <d v="2024-06-13T00:00:00"/>
    <x v="2"/>
    <x v="0"/>
    <s v="Office"/>
    <n v="9"/>
    <n v="15363"/>
    <x v="2"/>
    <x v="7"/>
  </r>
  <r>
    <d v="2024-01-30T00:00:00"/>
    <x v="5"/>
    <x v="8"/>
    <s v="Mobile"/>
    <n v="11"/>
    <n v="4048"/>
    <x v="2"/>
    <x v="6"/>
  </r>
  <r>
    <d v="2024-01-28T00:00:00"/>
    <x v="5"/>
    <x v="4"/>
    <s v="Accessories"/>
    <n v="15"/>
    <n v="12945"/>
    <x v="0"/>
    <x v="7"/>
  </r>
  <r>
    <d v="2023-07-30T00:00:00"/>
    <x v="3"/>
    <x v="8"/>
    <s v="Mobile"/>
    <n v="6"/>
    <n v="8808"/>
    <x v="0"/>
    <x v="7"/>
  </r>
  <r>
    <d v="2024-10-11T00:00:00"/>
    <x v="6"/>
    <x v="8"/>
    <s v="Mobile"/>
    <n v="9"/>
    <n v="7650"/>
    <x v="0"/>
    <x v="6"/>
  </r>
  <r>
    <d v="2024-06-17T00:00:00"/>
    <x v="2"/>
    <x v="2"/>
    <s v="Computers"/>
    <n v="15"/>
    <n v="3765"/>
    <x v="3"/>
    <x v="0"/>
  </r>
  <r>
    <d v="2025-03-18T00:00:00"/>
    <x v="11"/>
    <x v="8"/>
    <s v="Mobile"/>
    <n v="3"/>
    <n v="4497"/>
    <x v="4"/>
    <x v="3"/>
  </r>
  <r>
    <d v="2023-05-27T00:00:00"/>
    <x v="1"/>
    <x v="3"/>
    <s v="Mobile"/>
    <n v="2"/>
    <n v="1904"/>
    <x v="2"/>
    <x v="7"/>
  </r>
  <r>
    <d v="2024-12-08T00:00:00"/>
    <x v="8"/>
    <x v="5"/>
    <s v="Electronics"/>
    <n v="16"/>
    <n v="25744"/>
    <x v="3"/>
    <x v="7"/>
  </r>
  <r>
    <d v="2023-10-25T00:00:00"/>
    <x v="6"/>
    <x v="0"/>
    <s v="Office"/>
    <n v="2"/>
    <n v="3780"/>
    <x v="4"/>
    <x v="2"/>
  </r>
  <r>
    <d v="2023-06-21T00:00:00"/>
    <x v="2"/>
    <x v="7"/>
    <s v="Computers"/>
    <n v="7"/>
    <n v="1379"/>
    <x v="1"/>
    <x v="4"/>
  </r>
  <r>
    <d v="2025-07-26T00:00:00"/>
    <x v="3"/>
    <x v="4"/>
    <s v="Accessories"/>
    <n v="10"/>
    <n v="5070"/>
    <x v="3"/>
    <x v="7"/>
  </r>
  <r>
    <d v="2025-12-10T00:00:00"/>
    <x v="8"/>
    <x v="0"/>
    <s v="Office"/>
    <n v="10"/>
    <n v="1710"/>
    <x v="0"/>
    <x v="2"/>
  </r>
  <r>
    <d v="2023-06-10T00:00:00"/>
    <x v="2"/>
    <x v="5"/>
    <s v="Electronics"/>
    <n v="14"/>
    <n v="10570"/>
    <x v="4"/>
    <x v="2"/>
  </r>
  <r>
    <d v="2024-05-15T00:00:00"/>
    <x v="1"/>
    <x v="5"/>
    <s v="Electronics"/>
    <n v="19"/>
    <n v="17537"/>
    <x v="0"/>
    <x v="0"/>
  </r>
  <r>
    <d v="2024-07-19T00:00:00"/>
    <x v="3"/>
    <x v="4"/>
    <s v="Accessories"/>
    <n v="12"/>
    <n v="1512"/>
    <x v="2"/>
    <x v="7"/>
  </r>
  <r>
    <d v="2024-06-03T00:00:00"/>
    <x v="2"/>
    <x v="9"/>
    <s v="Wearables"/>
    <n v="14"/>
    <n v="27062"/>
    <x v="1"/>
    <x v="0"/>
  </r>
  <r>
    <d v="2024-01-27T00:00:00"/>
    <x v="5"/>
    <x v="8"/>
    <s v="Mobile"/>
    <n v="13"/>
    <n v="10816"/>
    <x v="2"/>
    <x v="0"/>
  </r>
  <r>
    <d v="2024-12-11T00:00:00"/>
    <x v="8"/>
    <x v="2"/>
    <s v="Computers"/>
    <n v="9"/>
    <n v="2259"/>
    <x v="2"/>
    <x v="5"/>
  </r>
  <r>
    <d v="2025-09-16T00:00:00"/>
    <x v="4"/>
    <x v="0"/>
    <s v="Office"/>
    <n v="13"/>
    <n v="22893"/>
    <x v="2"/>
    <x v="3"/>
  </r>
  <r>
    <d v="2023-09-05T00:00:00"/>
    <x v="4"/>
    <x v="8"/>
    <s v="Mobile"/>
    <n v="15"/>
    <n v="25155"/>
    <x v="2"/>
    <x v="7"/>
  </r>
  <r>
    <d v="2024-02-27T00:00:00"/>
    <x v="10"/>
    <x v="0"/>
    <s v="Office"/>
    <n v="11"/>
    <n v="2079"/>
    <x v="1"/>
    <x v="1"/>
  </r>
  <r>
    <d v="2024-08-22T00:00:00"/>
    <x v="9"/>
    <x v="2"/>
    <s v="Computers"/>
    <n v="7"/>
    <n v="7000"/>
    <x v="3"/>
    <x v="7"/>
  </r>
  <r>
    <d v="2025-07-13T00:00:00"/>
    <x v="3"/>
    <x v="2"/>
    <s v="Computers"/>
    <n v="12"/>
    <n v="6528"/>
    <x v="0"/>
    <x v="5"/>
  </r>
  <r>
    <d v="2024-10-01T00:00:00"/>
    <x v="6"/>
    <x v="9"/>
    <s v="Wearables"/>
    <n v="16"/>
    <n v="4832"/>
    <x v="3"/>
    <x v="1"/>
  </r>
  <r>
    <d v="2023-03-28T00:00:00"/>
    <x v="11"/>
    <x v="9"/>
    <s v="Wearables"/>
    <n v="10"/>
    <n v="15420"/>
    <x v="3"/>
    <x v="7"/>
  </r>
  <r>
    <d v="2024-05-17T00:00:00"/>
    <x v="1"/>
    <x v="3"/>
    <s v="Mobile"/>
    <n v="15"/>
    <n v="3135"/>
    <x v="2"/>
    <x v="6"/>
  </r>
  <r>
    <d v="2023-03-07T00:00:00"/>
    <x v="11"/>
    <x v="8"/>
    <s v="Mobile"/>
    <n v="11"/>
    <n v="14960"/>
    <x v="1"/>
    <x v="5"/>
  </r>
  <r>
    <d v="2024-05-09T00:00:00"/>
    <x v="1"/>
    <x v="8"/>
    <s v="Mobile"/>
    <n v="3"/>
    <n v="2430"/>
    <x v="0"/>
    <x v="3"/>
  </r>
  <r>
    <d v="2023-10-04T00:00:00"/>
    <x v="6"/>
    <x v="0"/>
    <s v="Office"/>
    <n v="11"/>
    <n v="4279"/>
    <x v="1"/>
    <x v="4"/>
  </r>
  <r>
    <d v="2023-03-06T00:00:00"/>
    <x v="11"/>
    <x v="5"/>
    <s v="Electronics"/>
    <n v="20"/>
    <n v="37460"/>
    <x v="3"/>
    <x v="6"/>
  </r>
  <r>
    <d v="2023-07-30T00:00:00"/>
    <x v="3"/>
    <x v="3"/>
    <s v="Mobile"/>
    <n v="13"/>
    <n v="23582"/>
    <x v="0"/>
    <x v="6"/>
  </r>
  <r>
    <d v="2024-11-01T00:00:00"/>
    <x v="0"/>
    <x v="3"/>
    <s v="Mobile"/>
    <n v="16"/>
    <n v="31200"/>
    <x v="2"/>
    <x v="4"/>
  </r>
  <r>
    <d v="2023-04-13T00:00:00"/>
    <x v="7"/>
    <x v="7"/>
    <s v="Computers"/>
    <n v="6"/>
    <n v="7824"/>
    <x v="3"/>
    <x v="0"/>
  </r>
  <r>
    <d v="2024-05-14T00:00:00"/>
    <x v="1"/>
    <x v="5"/>
    <s v="Electronics"/>
    <n v="4"/>
    <n v="2260"/>
    <x v="3"/>
    <x v="1"/>
  </r>
  <r>
    <d v="2023-06-29T00:00:00"/>
    <x v="2"/>
    <x v="2"/>
    <s v="Computers"/>
    <n v="12"/>
    <n v="1920"/>
    <x v="1"/>
    <x v="5"/>
  </r>
  <r>
    <d v="2024-12-09T00:00:00"/>
    <x v="8"/>
    <x v="1"/>
    <s v="Accessories"/>
    <n v="14"/>
    <n v="19964"/>
    <x v="4"/>
    <x v="3"/>
  </r>
  <r>
    <d v="2025-12-11T00:00:00"/>
    <x v="8"/>
    <x v="2"/>
    <s v="Computers"/>
    <n v="10"/>
    <n v="10270"/>
    <x v="1"/>
    <x v="4"/>
  </r>
  <r>
    <d v="2025-10-29T00:00:00"/>
    <x v="6"/>
    <x v="6"/>
    <s v="Accessories"/>
    <n v="15"/>
    <n v="8595"/>
    <x v="0"/>
    <x v="6"/>
  </r>
  <r>
    <d v="2023-09-30T00:00:00"/>
    <x v="4"/>
    <x v="7"/>
    <s v="Computers"/>
    <n v="19"/>
    <n v="22097"/>
    <x v="1"/>
    <x v="4"/>
  </r>
  <r>
    <d v="2025-02-08T00:00:00"/>
    <x v="10"/>
    <x v="7"/>
    <s v="Computers"/>
    <n v="10"/>
    <n v="13640"/>
    <x v="4"/>
    <x v="2"/>
  </r>
  <r>
    <d v="2023-04-14T00:00:00"/>
    <x v="7"/>
    <x v="2"/>
    <s v="Computers"/>
    <n v="18"/>
    <n v="12564"/>
    <x v="2"/>
    <x v="6"/>
  </r>
  <r>
    <d v="2025-09-05T00:00:00"/>
    <x v="4"/>
    <x v="7"/>
    <s v="Computers"/>
    <n v="13"/>
    <n v="19552"/>
    <x v="0"/>
    <x v="7"/>
  </r>
  <r>
    <d v="2024-12-24T00:00:00"/>
    <x v="8"/>
    <x v="6"/>
    <s v="Accessories"/>
    <n v="17"/>
    <n v="2142"/>
    <x v="3"/>
    <x v="6"/>
  </r>
  <r>
    <d v="2024-12-21T00:00:00"/>
    <x v="8"/>
    <x v="1"/>
    <s v="Accessories"/>
    <n v="14"/>
    <n v="6972"/>
    <x v="4"/>
    <x v="1"/>
  </r>
  <r>
    <d v="2024-02-16T00:00:00"/>
    <x v="10"/>
    <x v="1"/>
    <s v="Accessories"/>
    <n v="16"/>
    <n v="22896"/>
    <x v="0"/>
    <x v="4"/>
  </r>
  <r>
    <d v="2023-04-15T00:00:00"/>
    <x v="7"/>
    <x v="3"/>
    <s v="Mobile"/>
    <n v="9"/>
    <n v="12294"/>
    <x v="3"/>
    <x v="4"/>
  </r>
  <r>
    <d v="2024-07-20T00:00:00"/>
    <x v="3"/>
    <x v="2"/>
    <s v="Computers"/>
    <n v="2"/>
    <n v="3374"/>
    <x v="4"/>
    <x v="1"/>
  </r>
  <r>
    <d v="2023-09-12T00:00:00"/>
    <x v="4"/>
    <x v="6"/>
    <s v="Accessories"/>
    <n v="7"/>
    <n v="2625"/>
    <x v="0"/>
    <x v="5"/>
  </r>
  <r>
    <d v="2024-11-04T00:00:00"/>
    <x v="0"/>
    <x v="1"/>
    <s v="Accessories"/>
    <n v="9"/>
    <n v="7452"/>
    <x v="2"/>
    <x v="1"/>
  </r>
  <r>
    <d v="2023-12-15T00:00:00"/>
    <x v="8"/>
    <x v="4"/>
    <s v="Accessories"/>
    <n v="18"/>
    <n v="17370"/>
    <x v="4"/>
    <x v="4"/>
  </r>
  <r>
    <d v="2025-08-17T00:00:00"/>
    <x v="9"/>
    <x v="2"/>
    <s v="Computers"/>
    <n v="13"/>
    <n v="19734"/>
    <x v="3"/>
    <x v="7"/>
  </r>
  <r>
    <d v="2023-11-28T00:00:00"/>
    <x v="0"/>
    <x v="2"/>
    <s v="Computers"/>
    <n v="20"/>
    <n v="36600"/>
    <x v="3"/>
    <x v="3"/>
  </r>
  <r>
    <d v="2023-08-21T00:00:00"/>
    <x v="9"/>
    <x v="2"/>
    <s v="Computers"/>
    <n v="20"/>
    <n v="21180"/>
    <x v="3"/>
    <x v="5"/>
  </r>
  <r>
    <d v="2023-03-17T00:00:00"/>
    <x v="11"/>
    <x v="9"/>
    <s v="Wearables"/>
    <n v="9"/>
    <n v="4698"/>
    <x v="0"/>
    <x v="2"/>
  </r>
  <r>
    <d v="2023-11-18T00:00:00"/>
    <x v="0"/>
    <x v="3"/>
    <s v="Mobile"/>
    <n v="11"/>
    <n v="15741"/>
    <x v="0"/>
    <x v="5"/>
  </r>
  <r>
    <d v="2023-09-06T00:00:00"/>
    <x v="4"/>
    <x v="1"/>
    <s v="Accessories"/>
    <n v="17"/>
    <n v="6477"/>
    <x v="1"/>
    <x v="4"/>
  </r>
  <r>
    <d v="2024-04-09T00:00:00"/>
    <x v="7"/>
    <x v="7"/>
    <s v="Computers"/>
    <n v="10"/>
    <n v="9030"/>
    <x v="3"/>
    <x v="5"/>
  </r>
  <r>
    <d v="2024-08-26T00:00:00"/>
    <x v="9"/>
    <x v="5"/>
    <s v="Electronics"/>
    <n v="19"/>
    <n v="14383"/>
    <x v="0"/>
    <x v="4"/>
  </r>
  <r>
    <d v="2025-09-21T00:00:00"/>
    <x v="4"/>
    <x v="6"/>
    <s v="Accessories"/>
    <n v="10"/>
    <n v="11110"/>
    <x v="4"/>
    <x v="1"/>
  </r>
  <r>
    <d v="2024-05-19T00:00:00"/>
    <x v="1"/>
    <x v="2"/>
    <s v="Computers"/>
    <n v="8"/>
    <n v="6488"/>
    <x v="0"/>
    <x v="2"/>
  </r>
  <r>
    <d v="2025-03-03T00:00:00"/>
    <x v="11"/>
    <x v="7"/>
    <s v="Computers"/>
    <n v="20"/>
    <n v="12260"/>
    <x v="3"/>
    <x v="5"/>
  </r>
  <r>
    <d v="2024-10-02T00:00:00"/>
    <x v="6"/>
    <x v="3"/>
    <s v="Mobile"/>
    <n v="4"/>
    <n v="4828"/>
    <x v="0"/>
    <x v="7"/>
  </r>
  <r>
    <d v="2025-05-22T00:00:00"/>
    <x v="1"/>
    <x v="2"/>
    <s v="Computers"/>
    <n v="10"/>
    <n v="18820"/>
    <x v="3"/>
    <x v="5"/>
  </r>
  <r>
    <d v="2023-06-27T00:00:00"/>
    <x v="2"/>
    <x v="0"/>
    <s v="Office"/>
    <n v="13"/>
    <n v="9711"/>
    <x v="4"/>
    <x v="2"/>
  </r>
  <r>
    <d v="2025-10-31T00:00:00"/>
    <x v="6"/>
    <x v="4"/>
    <s v="Accessories"/>
    <n v="11"/>
    <n v="15048"/>
    <x v="1"/>
    <x v="6"/>
  </r>
  <r>
    <d v="2024-12-27T00:00:00"/>
    <x v="8"/>
    <x v="0"/>
    <s v="Office"/>
    <n v="6"/>
    <n v="1554"/>
    <x v="3"/>
    <x v="3"/>
  </r>
  <r>
    <d v="2023-04-27T00:00:00"/>
    <x v="7"/>
    <x v="1"/>
    <s v="Accessories"/>
    <n v="15"/>
    <n v="24810"/>
    <x v="0"/>
    <x v="4"/>
  </r>
  <r>
    <d v="2023-07-02T00:00:00"/>
    <x v="3"/>
    <x v="8"/>
    <s v="Mobile"/>
    <n v="3"/>
    <n v="3879"/>
    <x v="1"/>
    <x v="4"/>
  </r>
  <r>
    <d v="2025-11-03T00:00:00"/>
    <x v="0"/>
    <x v="5"/>
    <s v="Electronics"/>
    <n v="6"/>
    <n v="11778"/>
    <x v="0"/>
    <x v="3"/>
  </r>
  <r>
    <d v="2024-06-09T00:00:00"/>
    <x v="2"/>
    <x v="6"/>
    <s v="Accessories"/>
    <n v="2"/>
    <n v="2308"/>
    <x v="4"/>
    <x v="3"/>
  </r>
  <r>
    <d v="2024-09-06T00:00:00"/>
    <x v="4"/>
    <x v="6"/>
    <s v="Accessories"/>
    <n v="10"/>
    <n v="11930"/>
    <x v="0"/>
    <x v="7"/>
  </r>
  <r>
    <d v="2023-05-08T00:00:00"/>
    <x v="1"/>
    <x v="0"/>
    <s v="Office"/>
    <n v="11"/>
    <n v="15928"/>
    <x v="2"/>
    <x v="5"/>
  </r>
  <r>
    <d v="2024-12-23T00:00:00"/>
    <x v="8"/>
    <x v="8"/>
    <s v="Mobile"/>
    <n v="2"/>
    <n v="3716"/>
    <x v="2"/>
    <x v="1"/>
  </r>
  <r>
    <d v="2025-06-07T00:00:00"/>
    <x v="2"/>
    <x v="8"/>
    <s v="Mobile"/>
    <n v="8"/>
    <n v="11208"/>
    <x v="1"/>
    <x v="5"/>
  </r>
  <r>
    <d v="2023-01-29T00:00:00"/>
    <x v="5"/>
    <x v="5"/>
    <s v="Electronics"/>
    <n v="9"/>
    <n v="6777"/>
    <x v="0"/>
    <x v="1"/>
  </r>
  <r>
    <d v="2024-11-19T00:00:00"/>
    <x v="0"/>
    <x v="5"/>
    <s v="Electronics"/>
    <n v="7"/>
    <n v="7525"/>
    <x v="1"/>
    <x v="4"/>
  </r>
  <r>
    <d v="2025-02-05T00:00:00"/>
    <x v="10"/>
    <x v="1"/>
    <s v="Accessories"/>
    <n v="1"/>
    <n v="1726"/>
    <x v="4"/>
    <x v="0"/>
  </r>
  <r>
    <d v="2024-01-07T00:00:00"/>
    <x v="5"/>
    <x v="1"/>
    <s v="Accessories"/>
    <n v="9"/>
    <n v="6759"/>
    <x v="0"/>
    <x v="6"/>
  </r>
  <r>
    <d v="2023-11-26T00:00:00"/>
    <x v="0"/>
    <x v="1"/>
    <s v="Accessories"/>
    <n v="5"/>
    <n v="2140"/>
    <x v="2"/>
    <x v="4"/>
  </r>
  <r>
    <d v="2025-03-04T00:00:00"/>
    <x v="11"/>
    <x v="4"/>
    <s v="Accessories"/>
    <n v="6"/>
    <n v="10548"/>
    <x v="3"/>
    <x v="0"/>
  </r>
  <r>
    <d v="2025-07-05T00:00:00"/>
    <x v="3"/>
    <x v="4"/>
    <s v="Accessories"/>
    <n v="12"/>
    <n v="3480"/>
    <x v="2"/>
    <x v="1"/>
  </r>
  <r>
    <d v="2023-08-08T00:00:00"/>
    <x v="9"/>
    <x v="6"/>
    <s v="Accessories"/>
    <n v="20"/>
    <n v="14760"/>
    <x v="1"/>
    <x v="3"/>
  </r>
  <r>
    <d v="2024-12-19T00:00:00"/>
    <x v="8"/>
    <x v="9"/>
    <s v="Wearables"/>
    <n v="5"/>
    <n v="8225"/>
    <x v="4"/>
    <x v="2"/>
  </r>
  <r>
    <d v="2023-12-15T00:00:00"/>
    <x v="8"/>
    <x v="9"/>
    <s v="Wearables"/>
    <n v="14"/>
    <n v="19908"/>
    <x v="0"/>
    <x v="2"/>
  </r>
  <r>
    <d v="2024-02-08T00:00:00"/>
    <x v="10"/>
    <x v="2"/>
    <s v="Computers"/>
    <n v="17"/>
    <n v="18615"/>
    <x v="4"/>
    <x v="6"/>
  </r>
  <r>
    <d v="2024-06-20T00:00:00"/>
    <x v="2"/>
    <x v="4"/>
    <s v="Accessories"/>
    <n v="18"/>
    <n v="2646"/>
    <x v="0"/>
    <x v="6"/>
  </r>
  <r>
    <d v="2023-01-09T00:00:00"/>
    <x v="5"/>
    <x v="9"/>
    <s v="Wearables"/>
    <n v="5"/>
    <n v="6845"/>
    <x v="1"/>
    <x v="0"/>
  </r>
  <r>
    <d v="2025-11-02T00:00:00"/>
    <x v="0"/>
    <x v="0"/>
    <s v="Office"/>
    <n v="6"/>
    <n v="11568"/>
    <x v="0"/>
    <x v="0"/>
  </r>
  <r>
    <d v="2025-07-03T00:00:00"/>
    <x v="3"/>
    <x v="4"/>
    <s v="Accessories"/>
    <n v="11"/>
    <n v="12980"/>
    <x v="3"/>
    <x v="5"/>
  </r>
  <r>
    <d v="2025-07-27T00:00:00"/>
    <x v="3"/>
    <x v="1"/>
    <s v="Accessories"/>
    <n v="2"/>
    <n v="1288"/>
    <x v="1"/>
    <x v="5"/>
  </r>
  <r>
    <d v="2024-09-21T00:00:00"/>
    <x v="4"/>
    <x v="7"/>
    <s v="Computers"/>
    <n v="9"/>
    <n v="6588"/>
    <x v="0"/>
    <x v="6"/>
  </r>
  <r>
    <d v="2025-02-25T00:00:00"/>
    <x v="10"/>
    <x v="1"/>
    <s v="Accessories"/>
    <n v="14"/>
    <n v="5628"/>
    <x v="3"/>
    <x v="2"/>
  </r>
  <r>
    <d v="2023-08-18T00:00:00"/>
    <x v="9"/>
    <x v="4"/>
    <s v="Accessories"/>
    <n v="2"/>
    <n v="2804"/>
    <x v="1"/>
    <x v="7"/>
  </r>
  <r>
    <d v="2024-03-24T00:00:00"/>
    <x v="11"/>
    <x v="2"/>
    <s v="Computers"/>
    <n v="2"/>
    <n v="974"/>
    <x v="4"/>
    <x v="6"/>
  </r>
  <r>
    <d v="2024-03-28T00:00:00"/>
    <x v="11"/>
    <x v="8"/>
    <s v="Mobile"/>
    <n v="4"/>
    <n v="788"/>
    <x v="3"/>
    <x v="5"/>
  </r>
  <r>
    <d v="2025-10-26T00:00:00"/>
    <x v="6"/>
    <x v="3"/>
    <s v="Mobile"/>
    <n v="15"/>
    <n v="7995"/>
    <x v="1"/>
    <x v="6"/>
  </r>
  <r>
    <d v="2023-10-20T00:00:00"/>
    <x v="6"/>
    <x v="4"/>
    <s v="Accessories"/>
    <n v="11"/>
    <n v="10175"/>
    <x v="1"/>
    <x v="0"/>
  </r>
  <r>
    <d v="2023-09-13T00:00:00"/>
    <x v="4"/>
    <x v="7"/>
    <s v="Computers"/>
    <n v="10"/>
    <n v="6150"/>
    <x v="0"/>
    <x v="1"/>
  </r>
  <r>
    <d v="2025-04-27T00:00:00"/>
    <x v="7"/>
    <x v="4"/>
    <s v="Accessories"/>
    <n v="2"/>
    <n v="3126"/>
    <x v="3"/>
    <x v="2"/>
  </r>
  <r>
    <d v="2023-08-27T00:00:00"/>
    <x v="9"/>
    <x v="1"/>
    <s v="Accessories"/>
    <n v="6"/>
    <n v="10536"/>
    <x v="2"/>
    <x v="6"/>
  </r>
  <r>
    <d v="2025-03-08T00:00:00"/>
    <x v="11"/>
    <x v="0"/>
    <s v="Office"/>
    <n v="13"/>
    <n v="9308"/>
    <x v="3"/>
    <x v="4"/>
  </r>
  <r>
    <d v="2024-11-14T00:00:00"/>
    <x v="0"/>
    <x v="9"/>
    <s v="Wearables"/>
    <n v="6"/>
    <n v="3432"/>
    <x v="0"/>
    <x v="3"/>
  </r>
  <r>
    <d v="2023-11-17T00:00:00"/>
    <x v="0"/>
    <x v="7"/>
    <s v="Computers"/>
    <n v="11"/>
    <n v="13244"/>
    <x v="1"/>
    <x v="3"/>
  </r>
  <r>
    <d v="2024-06-27T00:00:00"/>
    <x v="2"/>
    <x v="8"/>
    <s v="Mobile"/>
    <n v="12"/>
    <n v="8496"/>
    <x v="0"/>
    <x v="6"/>
  </r>
  <r>
    <d v="2024-10-18T00:00:00"/>
    <x v="6"/>
    <x v="8"/>
    <s v="Mobile"/>
    <n v="18"/>
    <n v="25722"/>
    <x v="4"/>
    <x v="4"/>
  </r>
  <r>
    <d v="2023-05-10T00:00:00"/>
    <x v="1"/>
    <x v="8"/>
    <s v="Mobile"/>
    <n v="19"/>
    <n v="8816"/>
    <x v="2"/>
    <x v="7"/>
  </r>
  <r>
    <d v="2025-08-11T00:00:00"/>
    <x v="9"/>
    <x v="9"/>
    <s v="Wearables"/>
    <n v="7"/>
    <n v="9905"/>
    <x v="4"/>
    <x v="1"/>
  </r>
  <r>
    <d v="2025-10-07T00:00:00"/>
    <x v="6"/>
    <x v="6"/>
    <s v="Accessories"/>
    <n v="5"/>
    <n v="1245"/>
    <x v="1"/>
    <x v="4"/>
  </r>
  <r>
    <d v="2024-08-22T00:00:00"/>
    <x v="9"/>
    <x v="4"/>
    <s v="Accessories"/>
    <n v="4"/>
    <n v="1796"/>
    <x v="1"/>
    <x v="5"/>
  </r>
  <r>
    <d v="2025-04-08T00:00:00"/>
    <x v="7"/>
    <x v="3"/>
    <s v="Mobile"/>
    <n v="7"/>
    <n v="5075"/>
    <x v="3"/>
    <x v="6"/>
  </r>
  <r>
    <d v="2025-08-05T00:00:00"/>
    <x v="9"/>
    <x v="8"/>
    <s v="Mobile"/>
    <n v="20"/>
    <n v="33220"/>
    <x v="0"/>
    <x v="2"/>
  </r>
  <r>
    <d v="2023-02-25T00:00:00"/>
    <x v="10"/>
    <x v="9"/>
    <s v="Wearables"/>
    <n v="3"/>
    <n v="3915"/>
    <x v="0"/>
    <x v="0"/>
  </r>
  <r>
    <d v="2023-01-16T00:00:00"/>
    <x v="5"/>
    <x v="7"/>
    <s v="Computers"/>
    <n v="1"/>
    <n v="1415"/>
    <x v="3"/>
    <x v="0"/>
  </r>
  <r>
    <d v="2023-08-01T00:00:00"/>
    <x v="9"/>
    <x v="3"/>
    <s v="Mobile"/>
    <n v="14"/>
    <n v="5670"/>
    <x v="4"/>
    <x v="7"/>
  </r>
  <r>
    <d v="2023-06-26T00:00:00"/>
    <x v="2"/>
    <x v="4"/>
    <s v="Accessories"/>
    <n v="2"/>
    <n v="2560"/>
    <x v="2"/>
    <x v="7"/>
  </r>
  <r>
    <d v="2024-09-11T00:00:00"/>
    <x v="4"/>
    <x v="2"/>
    <s v="Computers"/>
    <n v="3"/>
    <n v="2943"/>
    <x v="1"/>
    <x v="2"/>
  </r>
  <r>
    <d v="2025-05-22T00:00:00"/>
    <x v="1"/>
    <x v="1"/>
    <s v="Accessories"/>
    <n v="13"/>
    <n v="17888"/>
    <x v="3"/>
    <x v="2"/>
  </r>
  <r>
    <d v="2024-08-26T00:00:00"/>
    <x v="9"/>
    <x v="7"/>
    <s v="Computers"/>
    <n v="19"/>
    <n v="22116"/>
    <x v="3"/>
    <x v="7"/>
  </r>
  <r>
    <d v="2023-05-02T00:00:00"/>
    <x v="1"/>
    <x v="0"/>
    <s v="Office"/>
    <n v="9"/>
    <n v="3906"/>
    <x v="3"/>
    <x v="7"/>
  </r>
  <r>
    <d v="2024-09-05T00:00:00"/>
    <x v="4"/>
    <x v="5"/>
    <s v="Electronics"/>
    <n v="5"/>
    <n v="445"/>
    <x v="0"/>
    <x v="7"/>
  </r>
  <r>
    <d v="2024-07-28T00:00:00"/>
    <x v="3"/>
    <x v="5"/>
    <s v="Electronics"/>
    <n v="12"/>
    <n v="20664"/>
    <x v="2"/>
    <x v="0"/>
  </r>
  <r>
    <d v="2025-01-15T00:00:00"/>
    <x v="5"/>
    <x v="2"/>
    <s v="Computers"/>
    <n v="5"/>
    <n v="4365"/>
    <x v="4"/>
    <x v="4"/>
  </r>
  <r>
    <d v="2025-01-22T00:00:00"/>
    <x v="5"/>
    <x v="5"/>
    <s v="Electronics"/>
    <n v="5"/>
    <n v="6700"/>
    <x v="0"/>
    <x v="5"/>
  </r>
  <r>
    <d v="2023-12-27T00:00:00"/>
    <x v="8"/>
    <x v="3"/>
    <s v="Mobile"/>
    <n v="15"/>
    <n v="8220"/>
    <x v="4"/>
    <x v="5"/>
  </r>
  <r>
    <d v="2024-03-23T00:00:00"/>
    <x v="11"/>
    <x v="0"/>
    <s v="Office"/>
    <n v="17"/>
    <n v="13634"/>
    <x v="4"/>
    <x v="6"/>
  </r>
  <r>
    <d v="2023-08-23T00:00:00"/>
    <x v="9"/>
    <x v="5"/>
    <s v="Electronics"/>
    <n v="13"/>
    <n v="20956"/>
    <x v="1"/>
    <x v="7"/>
  </r>
  <r>
    <d v="2024-07-27T00:00:00"/>
    <x v="3"/>
    <x v="8"/>
    <s v="Mobile"/>
    <n v="12"/>
    <n v="11844"/>
    <x v="1"/>
    <x v="4"/>
  </r>
  <r>
    <d v="2024-02-28T00:00:00"/>
    <x v="10"/>
    <x v="9"/>
    <s v="Wearables"/>
    <n v="8"/>
    <n v="5440"/>
    <x v="2"/>
    <x v="5"/>
  </r>
  <r>
    <d v="2024-08-29T00:00:00"/>
    <x v="9"/>
    <x v="7"/>
    <s v="Computers"/>
    <n v="3"/>
    <n v="2247"/>
    <x v="3"/>
    <x v="3"/>
  </r>
  <r>
    <d v="2024-04-08T00:00:00"/>
    <x v="7"/>
    <x v="3"/>
    <s v="Mobile"/>
    <n v="19"/>
    <n v="16302"/>
    <x v="2"/>
    <x v="0"/>
  </r>
  <r>
    <d v="2023-01-21T00:00:00"/>
    <x v="5"/>
    <x v="3"/>
    <s v="Mobile"/>
    <n v="7"/>
    <n v="8092"/>
    <x v="3"/>
    <x v="2"/>
  </r>
  <r>
    <d v="2025-08-26T00:00:00"/>
    <x v="9"/>
    <x v="6"/>
    <s v="Accessories"/>
    <n v="12"/>
    <n v="19500"/>
    <x v="3"/>
    <x v="1"/>
  </r>
  <r>
    <d v="2024-09-12T00:00:00"/>
    <x v="4"/>
    <x v="9"/>
    <s v="Wearables"/>
    <n v="12"/>
    <n v="18672"/>
    <x v="2"/>
    <x v="4"/>
  </r>
  <r>
    <d v="2025-12-12T00:00:00"/>
    <x v="8"/>
    <x v="6"/>
    <s v="Accessories"/>
    <n v="18"/>
    <n v="24822"/>
    <x v="1"/>
    <x v="4"/>
  </r>
  <r>
    <d v="2024-11-26T00:00:00"/>
    <x v="0"/>
    <x v="6"/>
    <s v="Accessories"/>
    <n v="19"/>
    <n v="15238"/>
    <x v="2"/>
    <x v="7"/>
  </r>
  <r>
    <d v="2023-08-01T00:00:00"/>
    <x v="9"/>
    <x v="2"/>
    <s v="Computers"/>
    <n v="8"/>
    <n v="14592"/>
    <x v="4"/>
    <x v="0"/>
  </r>
  <r>
    <d v="2023-08-01T00:00:00"/>
    <x v="9"/>
    <x v="3"/>
    <s v="Mobile"/>
    <n v="10"/>
    <n v="9720"/>
    <x v="2"/>
    <x v="5"/>
  </r>
  <r>
    <d v="2023-08-05T00:00:00"/>
    <x v="9"/>
    <x v="9"/>
    <s v="Wearables"/>
    <n v="1"/>
    <n v="1700"/>
    <x v="3"/>
    <x v="7"/>
  </r>
  <r>
    <d v="2023-08-02T00:00:00"/>
    <x v="9"/>
    <x v="3"/>
    <s v="Mobile"/>
    <n v="14"/>
    <n v="4032"/>
    <x v="2"/>
    <x v="6"/>
  </r>
  <r>
    <d v="2025-07-21T00:00:00"/>
    <x v="3"/>
    <x v="1"/>
    <s v="Accessories"/>
    <n v="17"/>
    <n v="3910"/>
    <x v="2"/>
    <x v="7"/>
  </r>
  <r>
    <d v="2023-01-18T00:00:00"/>
    <x v="5"/>
    <x v="2"/>
    <s v="Computers"/>
    <n v="1"/>
    <n v="1408"/>
    <x v="2"/>
    <x v="2"/>
  </r>
  <r>
    <d v="2024-10-26T00:00:00"/>
    <x v="6"/>
    <x v="3"/>
    <s v="Mobile"/>
    <n v="8"/>
    <n v="1392"/>
    <x v="2"/>
    <x v="7"/>
  </r>
  <r>
    <d v="2025-03-27T00:00:00"/>
    <x v="11"/>
    <x v="7"/>
    <s v="Computers"/>
    <n v="1"/>
    <n v="1908"/>
    <x v="0"/>
    <x v="7"/>
  </r>
  <r>
    <d v="2023-07-03T00:00:00"/>
    <x v="3"/>
    <x v="3"/>
    <s v="Mobile"/>
    <n v="18"/>
    <n v="7560"/>
    <x v="2"/>
    <x v="3"/>
  </r>
  <r>
    <d v="2023-03-22T00:00:00"/>
    <x v="11"/>
    <x v="9"/>
    <s v="Wearables"/>
    <n v="17"/>
    <n v="3791"/>
    <x v="1"/>
    <x v="3"/>
  </r>
  <r>
    <d v="2023-05-22T00:00:00"/>
    <x v="1"/>
    <x v="1"/>
    <s v="Accessories"/>
    <n v="1"/>
    <n v="1636"/>
    <x v="3"/>
    <x v="4"/>
  </r>
  <r>
    <d v="2024-03-18T00:00:00"/>
    <x v="11"/>
    <x v="5"/>
    <s v="Electronics"/>
    <n v="10"/>
    <n v="12830"/>
    <x v="3"/>
    <x v="4"/>
  </r>
  <r>
    <d v="2024-04-12T00:00:00"/>
    <x v="7"/>
    <x v="7"/>
    <s v="Computers"/>
    <n v="16"/>
    <n v="9632"/>
    <x v="4"/>
    <x v="6"/>
  </r>
  <r>
    <d v="2023-02-25T00:00:00"/>
    <x v="10"/>
    <x v="7"/>
    <s v="Computers"/>
    <n v="10"/>
    <n v="10310"/>
    <x v="2"/>
    <x v="1"/>
  </r>
  <r>
    <d v="2023-02-07T00:00:00"/>
    <x v="10"/>
    <x v="5"/>
    <s v="Electronics"/>
    <n v="5"/>
    <n v="1395"/>
    <x v="3"/>
    <x v="1"/>
  </r>
  <r>
    <d v="2025-12-20T00:00:00"/>
    <x v="8"/>
    <x v="4"/>
    <s v="Accessories"/>
    <n v="11"/>
    <n v="20328"/>
    <x v="3"/>
    <x v="7"/>
  </r>
  <r>
    <d v="2023-02-15T00:00:00"/>
    <x v="10"/>
    <x v="6"/>
    <s v="Accessories"/>
    <n v="4"/>
    <n v="4380"/>
    <x v="3"/>
    <x v="6"/>
  </r>
  <r>
    <d v="2025-10-04T00:00:00"/>
    <x v="6"/>
    <x v="4"/>
    <s v="Accessories"/>
    <n v="15"/>
    <n v="18450"/>
    <x v="1"/>
    <x v="5"/>
  </r>
  <r>
    <d v="2025-11-26T00:00:00"/>
    <x v="0"/>
    <x v="6"/>
    <s v="Accessories"/>
    <n v="11"/>
    <n v="13849"/>
    <x v="4"/>
    <x v="7"/>
  </r>
  <r>
    <d v="2023-01-19T00:00:00"/>
    <x v="5"/>
    <x v="5"/>
    <s v="Electronics"/>
    <n v="10"/>
    <n v="6630"/>
    <x v="2"/>
    <x v="0"/>
  </r>
  <r>
    <d v="2023-12-31T00:00:00"/>
    <x v="8"/>
    <x v="4"/>
    <s v="Accessories"/>
    <n v="10"/>
    <n v="16000"/>
    <x v="1"/>
    <x v="3"/>
  </r>
  <r>
    <d v="2024-09-23T00:00:00"/>
    <x v="4"/>
    <x v="2"/>
    <s v="Computers"/>
    <n v="20"/>
    <n v="35520"/>
    <x v="1"/>
    <x v="6"/>
  </r>
  <r>
    <d v="2025-12-03T00:00:00"/>
    <x v="8"/>
    <x v="9"/>
    <s v="Wearables"/>
    <n v="14"/>
    <n v="19264"/>
    <x v="3"/>
    <x v="1"/>
  </r>
  <r>
    <d v="2023-06-26T00:00:00"/>
    <x v="2"/>
    <x v="0"/>
    <s v="Office"/>
    <n v="14"/>
    <n v="14798"/>
    <x v="1"/>
    <x v="5"/>
  </r>
  <r>
    <d v="2023-08-25T00:00:00"/>
    <x v="9"/>
    <x v="8"/>
    <s v="Mobile"/>
    <n v="18"/>
    <n v="25398"/>
    <x v="4"/>
    <x v="2"/>
  </r>
  <r>
    <d v="2024-08-18T00:00:00"/>
    <x v="9"/>
    <x v="5"/>
    <s v="Electronics"/>
    <n v="4"/>
    <n v="5460"/>
    <x v="2"/>
    <x v="6"/>
  </r>
  <r>
    <d v="2024-06-21T00:00:00"/>
    <x v="2"/>
    <x v="8"/>
    <s v="Mobile"/>
    <n v="11"/>
    <n v="737"/>
    <x v="3"/>
    <x v="7"/>
  </r>
  <r>
    <d v="2023-11-09T00:00:00"/>
    <x v="0"/>
    <x v="4"/>
    <s v="Accessories"/>
    <n v="20"/>
    <n v="3900"/>
    <x v="4"/>
    <x v="7"/>
  </r>
  <r>
    <d v="2023-10-28T00:00:00"/>
    <x v="6"/>
    <x v="9"/>
    <s v="Wearables"/>
    <n v="5"/>
    <n v="1600"/>
    <x v="4"/>
    <x v="6"/>
  </r>
  <r>
    <d v="2024-10-22T00:00:00"/>
    <x v="6"/>
    <x v="1"/>
    <s v="Accessories"/>
    <n v="5"/>
    <n v="1530"/>
    <x v="2"/>
    <x v="7"/>
  </r>
  <r>
    <d v="2023-03-10T00:00:00"/>
    <x v="11"/>
    <x v="8"/>
    <s v="Mobile"/>
    <n v="2"/>
    <n v="2220"/>
    <x v="0"/>
    <x v="1"/>
  </r>
  <r>
    <d v="2024-01-02T00:00:00"/>
    <x v="5"/>
    <x v="0"/>
    <s v="Office"/>
    <n v="20"/>
    <n v="31080"/>
    <x v="3"/>
    <x v="7"/>
  </r>
  <r>
    <d v="2023-08-30T00:00:00"/>
    <x v="9"/>
    <x v="8"/>
    <s v="Mobile"/>
    <n v="14"/>
    <n v="27678"/>
    <x v="2"/>
    <x v="6"/>
  </r>
  <r>
    <d v="2024-07-13T00:00:00"/>
    <x v="3"/>
    <x v="6"/>
    <s v="Accessories"/>
    <n v="9"/>
    <n v="4941"/>
    <x v="1"/>
    <x v="4"/>
  </r>
  <r>
    <d v="2024-05-02T00:00:00"/>
    <x v="1"/>
    <x v="4"/>
    <s v="Accessories"/>
    <n v="14"/>
    <n v="7406"/>
    <x v="1"/>
    <x v="0"/>
  </r>
  <r>
    <d v="2024-03-29T00:00:00"/>
    <x v="11"/>
    <x v="9"/>
    <s v="Wearables"/>
    <n v="3"/>
    <n v="1809"/>
    <x v="3"/>
    <x v="4"/>
  </r>
  <r>
    <d v="2023-07-29T00:00:00"/>
    <x v="3"/>
    <x v="0"/>
    <s v="Office"/>
    <n v="19"/>
    <n v="35074"/>
    <x v="3"/>
    <x v="0"/>
  </r>
  <r>
    <d v="2025-12-12T00:00:00"/>
    <x v="8"/>
    <x v="8"/>
    <s v="Mobile"/>
    <n v="10"/>
    <n v="17340"/>
    <x v="1"/>
    <x v="6"/>
  </r>
  <r>
    <d v="2025-06-29T00:00:00"/>
    <x v="2"/>
    <x v="6"/>
    <s v="Accessories"/>
    <n v="11"/>
    <n v="12364"/>
    <x v="4"/>
    <x v="3"/>
  </r>
  <r>
    <d v="2023-01-15T00:00:00"/>
    <x v="5"/>
    <x v="9"/>
    <s v="Wearables"/>
    <n v="13"/>
    <n v="8645"/>
    <x v="2"/>
    <x v="1"/>
  </r>
  <r>
    <d v="2024-11-05T00:00:00"/>
    <x v="0"/>
    <x v="2"/>
    <s v="Computers"/>
    <n v="5"/>
    <n v="4555"/>
    <x v="3"/>
    <x v="5"/>
  </r>
  <r>
    <d v="2024-04-05T00:00:00"/>
    <x v="7"/>
    <x v="3"/>
    <s v="Mobile"/>
    <n v="12"/>
    <n v="11256"/>
    <x v="0"/>
    <x v="1"/>
  </r>
  <r>
    <d v="2023-02-05T00:00:00"/>
    <x v="10"/>
    <x v="4"/>
    <s v="Accessories"/>
    <n v="20"/>
    <n v="29600"/>
    <x v="4"/>
    <x v="1"/>
  </r>
  <r>
    <d v="2025-12-27T00:00:00"/>
    <x v="8"/>
    <x v="5"/>
    <s v="Electronics"/>
    <n v="9"/>
    <n v="10611"/>
    <x v="4"/>
    <x v="3"/>
  </r>
  <r>
    <d v="2024-12-27T00:00:00"/>
    <x v="8"/>
    <x v="0"/>
    <s v="Office"/>
    <n v="20"/>
    <n v="25540"/>
    <x v="3"/>
    <x v="6"/>
  </r>
  <r>
    <d v="2024-05-17T00:00:00"/>
    <x v="1"/>
    <x v="0"/>
    <s v="Office"/>
    <n v="13"/>
    <n v="3484"/>
    <x v="0"/>
    <x v="6"/>
  </r>
  <r>
    <d v="2023-09-17T00:00:00"/>
    <x v="4"/>
    <x v="4"/>
    <s v="Accessories"/>
    <n v="13"/>
    <n v="22516"/>
    <x v="2"/>
    <x v="0"/>
  </r>
  <r>
    <d v="2023-11-07T00:00:00"/>
    <x v="0"/>
    <x v="1"/>
    <s v="Accessories"/>
    <n v="9"/>
    <n v="5976"/>
    <x v="0"/>
    <x v="5"/>
  </r>
  <r>
    <d v="2024-01-29T00:00:00"/>
    <x v="5"/>
    <x v="4"/>
    <s v="Accessories"/>
    <n v="19"/>
    <n v="1577"/>
    <x v="3"/>
    <x v="3"/>
  </r>
  <r>
    <d v="2023-04-20T00:00:00"/>
    <x v="7"/>
    <x v="8"/>
    <s v="Mobile"/>
    <n v="16"/>
    <n v="24928"/>
    <x v="0"/>
    <x v="7"/>
  </r>
  <r>
    <d v="2023-04-06T00:00:00"/>
    <x v="7"/>
    <x v="9"/>
    <s v="Wearables"/>
    <n v="13"/>
    <n v="6435"/>
    <x v="1"/>
    <x v="2"/>
  </r>
  <r>
    <d v="2023-10-16T00:00:00"/>
    <x v="6"/>
    <x v="1"/>
    <s v="Accessories"/>
    <n v="2"/>
    <n v="2320"/>
    <x v="1"/>
    <x v="4"/>
  </r>
  <r>
    <d v="2023-06-24T00:00:00"/>
    <x v="2"/>
    <x v="1"/>
    <s v="Accessories"/>
    <n v="14"/>
    <n v="6370"/>
    <x v="1"/>
    <x v="2"/>
  </r>
  <r>
    <d v="2025-12-12T00:00:00"/>
    <x v="8"/>
    <x v="3"/>
    <s v="Mobile"/>
    <n v="16"/>
    <n v="11392"/>
    <x v="4"/>
    <x v="0"/>
  </r>
  <r>
    <d v="2025-10-18T00:00:00"/>
    <x v="6"/>
    <x v="3"/>
    <s v="Mobile"/>
    <n v="1"/>
    <n v="497"/>
    <x v="4"/>
    <x v="3"/>
  </r>
  <r>
    <d v="2025-08-08T00:00:00"/>
    <x v="9"/>
    <x v="9"/>
    <s v="Wearables"/>
    <n v="20"/>
    <n v="14320"/>
    <x v="1"/>
    <x v="1"/>
  </r>
  <r>
    <d v="2025-07-11T00:00:00"/>
    <x v="3"/>
    <x v="9"/>
    <s v="Wearables"/>
    <n v="6"/>
    <n v="4914"/>
    <x v="0"/>
    <x v="7"/>
  </r>
  <r>
    <d v="2024-05-27T00:00:00"/>
    <x v="1"/>
    <x v="4"/>
    <s v="Accessories"/>
    <n v="18"/>
    <n v="10350"/>
    <x v="3"/>
    <x v="5"/>
  </r>
  <r>
    <d v="2024-11-25T00:00:00"/>
    <x v="0"/>
    <x v="5"/>
    <s v="Electronics"/>
    <n v="17"/>
    <n v="30872"/>
    <x v="2"/>
    <x v="6"/>
  </r>
  <r>
    <d v="2024-02-14T00:00:00"/>
    <x v="10"/>
    <x v="9"/>
    <s v="Wearables"/>
    <n v="17"/>
    <n v="11271"/>
    <x v="1"/>
    <x v="6"/>
  </r>
  <r>
    <d v="2024-06-13T00:00:00"/>
    <x v="2"/>
    <x v="5"/>
    <s v="Electronics"/>
    <n v="15"/>
    <n v="6630"/>
    <x v="1"/>
    <x v="7"/>
  </r>
  <r>
    <d v="2024-06-29T00:00:00"/>
    <x v="2"/>
    <x v="7"/>
    <s v="Computers"/>
    <n v="19"/>
    <n v="9956"/>
    <x v="4"/>
    <x v="6"/>
  </r>
  <r>
    <d v="2025-07-20T00:00:00"/>
    <x v="3"/>
    <x v="2"/>
    <s v="Computers"/>
    <n v="8"/>
    <n v="6720"/>
    <x v="0"/>
    <x v="4"/>
  </r>
  <r>
    <d v="2023-01-07T00:00:00"/>
    <x v="5"/>
    <x v="6"/>
    <s v="Accessories"/>
    <n v="4"/>
    <n v="1992"/>
    <x v="1"/>
    <x v="1"/>
  </r>
  <r>
    <d v="2024-03-04T00:00:00"/>
    <x v="11"/>
    <x v="1"/>
    <s v="Accessories"/>
    <n v="19"/>
    <n v="18145"/>
    <x v="0"/>
    <x v="0"/>
  </r>
  <r>
    <d v="2023-06-13T00:00:00"/>
    <x v="2"/>
    <x v="9"/>
    <s v="Wearables"/>
    <n v="18"/>
    <n v="22986"/>
    <x v="2"/>
    <x v="7"/>
  </r>
  <r>
    <d v="2024-05-22T00:00:00"/>
    <x v="1"/>
    <x v="4"/>
    <s v="Accessories"/>
    <n v="1"/>
    <n v="938"/>
    <x v="0"/>
    <x v="1"/>
  </r>
  <r>
    <d v="2024-12-06T00:00:00"/>
    <x v="8"/>
    <x v="1"/>
    <s v="Accessories"/>
    <n v="15"/>
    <n v="29310"/>
    <x v="1"/>
    <x v="4"/>
  </r>
  <r>
    <d v="2023-07-08T00:00:00"/>
    <x v="3"/>
    <x v="7"/>
    <s v="Computers"/>
    <n v="12"/>
    <n v="8964"/>
    <x v="0"/>
    <x v="6"/>
  </r>
  <r>
    <d v="2023-07-05T00:00:00"/>
    <x v="3"/>
    <x v="6"/>
    <s v="Accessories"/>
    <n v="1"/>
    <n v="1566"/>
    <x v="2"/>
    <x v="4"/>
  </r>
  <r>
    <d v="2023-12-30T00:00:00"/>
    <x v="8"/>
    <x v="0"/>
    <s v="Office"/>
    <n v="7"/>
    <n v="4067"/>
    <x v="1"/>
    <x v="7"/>
  </r>
  <r>
    <d v="2025-08-01T00:00:00"/>
    <x v="9"/>
    <x v="9"/>
    <s v="Wearables"/>
    <n v="14"/>
    <n v="18466"/>
    <x v="4"/>
    <x v="5"/>
  </r>
  <r>
    <d v="2023-01-25T00:00:00"/>
    <x v="5"/>
    <x v="4"/>
    <s v="Accessories"/>
    <n v="16"/>
    <n v="16304"/>
    <x v="3"/>
    <x v="5"/>
  </r>
  <r>
    <d v="2023-11-22T00:00:00"/>
    <x v="0"/>
    <x v="9"/>
    <s v="Wearables"/>
    <n v="8"/>
    <n v="12280"/>
    <x v="0"/>
    <x v="4"/>
  </r>
  <r>
    <d v="2024-09-30T00:00:00"/>
    <x v="4"/>
    <x v="8"/>
    <s v="Mobile"/>
    <n v="11"/>
    <n v="2970"/>
    <x v="3"/>
    <x v="6"/>
  </r>
  <r>
    <d v="2024-08-20T00:00:00"/>
    <x v="9"/>
    <x v="5"/>
    <s v="Electronics"/>
    <n v="16"/>
    <n v="29472"/>
    <x v="3"/>
    <x v="0"/>
  </r>
  <r>
    <d v="2025-02-12T00:00:00"/>
    <x v="10"/>
    <x v="6"/>
    <s v="Accessories"/>
    <n v="17"/>
    <n v="24667"/>
    <x v="1"/>
    <x v="1"/>
  </r>
  <r>
    <d v="2024-10-30T00:00:00"/>
    <x v="6"/>
    <x v="8"/>
    <s v="Mobile"/>
    <n v="19"/>
    <n v="10013"/>
    <x v="0"/>
    <x v="1"/>
  </r>
  <r>
    <d v="2025-08-03T00:00:00"/>
    <x v="9"/>
    <x v="9"/>
    <s v="Wearables"/>
    <n v="16"/>
    <n v="28656"/>
    <x v="4"/>
    <x v="2"/>
  </r>
  <r>
    <d v="2025-08-08T00:00:00"/>
    <x v="9"/>
    <x v="7"/>
    <s v="Computers"/>
    <n v="15"/>
    <n v="23010"/>
    <x v="0"/>
    <x v="3"/>
  </r>
  <r>
    <d v="2023-04-17T00:00:00"/>
    <x v="7"/>
    <x v="3"/>
    <s v="Mobile"/>
    <n v="20"/>
    <n v="36520"/>
    <x v="4"/>
    <x v="4"/>
  </r>
  <r>
    <d v="2023-03-09T00:00:00"/>
    <x v="11"/>
    <x v="9"/>
    <s v="Wearables"/>
    <n v="15"/>
    <n v="24435"/>
    <x v="3"/>
    <x v="2"/>
  </r>
  <r>
    <d v="2024-10-15T00:00:00"/>
    <x v="6"/>
    <x v="6"/>
    <s v="Accessories"/>
    <n v="13"/>
    <n v="22867"/>
    <x v="0"/>
    <x v="0"/>
  </r>
  <r>
    <d v="2024-06-19T00:00:00"/>
    <x v="2"/>
    <x v="4"/>
    <s v="Accessories"/>
    <n v="6"/>
    <n v="4068"/>
    <x v="4"/>
    <x v="6"/>
  </r>
  <r>
    <d v="2024-07-10T00:00:00"/>
    <x v="3"/>
    <x v="4"/>
    <s v="Accessories"/>
    <n v="8"/>
    <n v="4112"/>
    <x v="0"/>
    <x v="1"/>
  </r>
  <r>
    <d v="2023-04-17T00:00:00"/>
    <x v="7"/>
    <x v="2"/>
    <s v="Computers"/>
    <n v="11"/>
    <n v="5599"/>
    <x v="3"/>
    <x v="2"/>
  </r>
  <r>
    <d v="2024-04-11T00:00:00"/>
    <x v="7"/>
    <x v="6"/>
    <s v="Accessories"/>
    <n v="12"/>
    <n v="4944"/>
    <x v="0"/>
    <x v="1"/>
  </r>
  <r>
    <d v="2024-07-11T00:00:00"/>
    <x v="3"/>
    <x v="5"/>
    <s v="Electronics"/>
    <n v="6"/>
    <n v="5730"/>
    <x v="0"/>
    <x v="1"/>
  </r>
  <r>
    <d v="2025-01-07T00:00:00"/>
    <x v="5"/>
    <x v="0"/>
    <s v="Office"/>
    <n v="11"/>
    <n v="6567"/>
    <x v="3"/>
    <x v="2"/>
  </r>
  <r>
    <d v="2025-11-14T00:00:00"/>
    <x v="0"/>
    <x v="2"/>
    <s v="Computers"/>
    <n v="11"/>
    <n v="6072"/>
    <x v="4"/>
    <x v="5"/>
  </r>
  <r>
    <d v="2025-12-20T00:00:00"/>
    <x v="8"/>
    <x v="8"/>
    <s v="Mobile"/>
    <n v="4"/>
    <n v="2700"/>
    <x v="4"/>
    <x v="5"/>
  </r>
  <r>
    <d v="2024-03-16T00:00:00"/>
    <x v="11"/>
    <x v="4"/>
    <s v="Accessories"/>
    <n v="14"/>
    <n v="2016"/>
    <x v="0"/>
    <x v="6"/>
  </r>
  <r>
    <d v="2025-12-06T00:00:00"/>
    <x v="8"/>
    <x v="6"/>
    <s v="Accessories"/>
    <n v="5"/>
    <n v="8215"/>
    <x v="0"/>
    <x v="7"/>
  </r>
  <r>
    <d v="2024-05-13T00:00:00"/>
    <x v="1"/>
    <x v="8"/>
    <s v="Mobile"/>
    <n v="3"/>
    <n v="1692"/>
    <x v="1"/>
    <x v="2"/>
  </r>
  <r>
    <d v="2023-02-09T00:00:00"/>
    <x v="10"/>
    <x v="2"/>
    <s v="Computers"/>
    <n v="7"/>
    <n v="7182"/>
    <x v="0"/>
    <x v="3"/>
  </r>
  <r>
    <d v="2023-10-24T00:00:00"/>
    <x v="6"/>
    <x v="7"/>
    <s v="Computers"/>
    <n v="8"/>
    <n v="13400"/>
    <x v="1"/>
    <x v="0"/>
  </r>
  <r>
    <d v="2025-04-04T00:00:00"/>
    <x v="7"/>
    <x v="6"/>
    <s v="Accessories"/>
    <n v="18"/>
    <n v="2628"/>
    <x v="1"/>
    <x v="3"/>
  </r>
  <r>
    <d v="2024-02-08T00:00:00"/>
    <x v="10"/>
    <x v="6"/>
    <s v="Accessories"/>
    <n v="1"/>
    <n v="1658"/>
    <x v="4"/>
    <x v="7"/>
  </r>
  <r>
    <d v="2025-11-14T00:00:00"/>
    <x v="0"/>
    <x v="7"/>
    <s v="Computers"/>
    <n v="1"/>
    <n v="850"/>
    <x v="0"/>
    <x v="0"/>
  </r>
  <r>
    <d v="2025-01-11T00:00:00"/>
    <x v="5"/>
    <x v="0"/>
    <s v="Office"/>
    <n v="14"/>
    <n v="6174"/>
    <x v="2"/>
    <x v="4"/>
  </r>
  <r>
    <d v="2025-10-04T00:00:00"/>
    <x v="6"/>
    <x v="8"/>
    <s v="Mobile"/>
    <n v="3"/>
    <n v="2745"/>
    <x v="3"/>
    <x v="2"/>
  </r>
  <r>
    <d v="2025-06-14T00:00:00"/>
    <x v="2"/>
    <x v="3"/>
    <s v="Mobile"/>
    <n v="17"/>
    <n v="12767"/>
    <x v="4"/>
    <x v="4"/>
  </r>
  <r>
    <d v="2024-08-02T00:00:00"/>
    <x v="9"/>
    <x v="8"/>
    <s v="Mobile"/>
    <n v="14"/>
    <n v="24360"/>
    <x v="1"/>
    <x v="2"/>
  </r>
  <r>
    <d v="2025-06-30T00:00:00"/>
    <x v="2"/>
    <x v="9"/>
    <s v="Wearables"/>
    <n v="19"/>
    <n v="11267"/>
    <x v="3"/>
    <x v="3"/>
  </r>
  <r>
    <d v="2023-05-17T00:00:00"/>
    <x v="1"/>
    <x v="9"/>
    <s v="Wearables"/>
    <n v="4"/>
    <n v="7696"/>
    <x v="0"/>
    <x v="5"/>
  </r>
  <r>
    <d v="2025-01-24T00:00:00"/>
    <x v="5"/>
    <x v="1"/>
    <s v="Accessories"/>
    <n v="1"/>
    <n v="640"/>
    <x v="0"/>
    <x v="7"/>
  </r>
  <r>
    <d v="2024-09-03T00:00:00"/>
    <x v="4"/>
    <x v="9"/>
    <s v="Wearables"/>
    <n v="17"/>
    <n v="25942"/>
    <x v="1"/>
    <x v="4"/>
  </r>
  <r>
    <d v="2023-09-28T00:00:00"/>
    <x v="4"/>
    <x v="9"/>
    <s v="Wearables"/>
    <n v="6"/>
    <n v="11388"/>
    <x v="1"/>
    <x v="5"/>
  </r>
  <r>
    <d v="2025-01-07T00:00:00"/>
    <x v="5"/>
    <x v="5"/>
    <s v="Electronics"/>
    <n v="10"/>
    <n v="8190"/>
    <x v="1"/>
    <x v="0"/>
  </r>
  <r>
    <d v="2025-12-12T00:00:00"/>
    <x v="8"/>
    <x v="6"/>
    <s v="Accessories"/>
    <n v="19"/>
    <n v="16397"/>
    <x v="4"/>
    <x v="1"/>
  </r>
  <r>
    <d v="2023-03-05T00:00:00"/>
    <x v="11"/>
    <x v="1"/>
    <s v="Accessories"/>
    <n v="13"/>
    <n v="7332"/>
    <x v="0"/>
    <x v="4"/>
  </r>
  <r>
    <d v="2025-02-09T00:00:00"/>
    <x v="10"/>
    <x v="3"/>
    <s v="Mobile"/>
    <n v="17"/>
    <n v="27489"/>
    <x v="0"/>
    <x v="1"/>
  </r>
  <r>
    <d v="2024-04-03T00:00:00"/>
    <x v="7"/>
    <x v="8"/>
    <s v="Mobile"/>
    <n v="6"/>
    <n v="2364"/>
    <x v="2"/>
    <x v="5"/>
  </r>
  <r>
    <d v="2024-01-18T00:00:00"/>
    <x v="5"/>
    <x v="1"/>
    <s v="Accessories"/>
    <n v="7"/>
    <n v="2737"/>
    <x v="4"/>
    <x v="3"/>
  </r>
  <r>
    <d v="2023-08-24T00:00:00"/>
    <x v="9"/>
    <x v="0"/>
    <s v="Office"/>
    <n v="14"/>
    <n v="1456"/>
    <x v="2"/>
    <x v="5"/>
  </r>
  <r>
    <d v="2025-06-26T00:00:00"/>
    <x v="2"/>
    <x v="5"/>
    <s v="Electronics"/>
    <n v="18"/>
    <n v="3150"/>
    <x v="2"/>
    <x v="5"/>
  </r>
  <r>
    <d v="2023-12-20T00:00:00"/>
    <x v="8"/>
    <x v="3"/>
    <s v="Mobile"/>
    <n v="1"/>
    <n v="1786"/>
    <x v="3"/>
    <x v="6"/>
  </r>
  <r>
    <d v="2025-03-31T00:00:00"/>
    <x v="11"/>
    <x v="4"/>
    <s v="Accessories"/>
    <n v="12"/>
    <n v="1392"/>
    <x v="1"/>
    <x v="7"/>
  </r>
  <r>
    <d v="2023-04-13T00:00:00"/>
    <x v="7"/>
    <x v="6"/>
    <s v="Accessories"/>
    <n v="8"/>
    <n v="3336"/>
    <x v="1"/>
    <x v="6"/>
  </r>
  <r>
    <d v="2025-07-25T00:00:00"/>
    <x v="3"/>
    <x v="7"/>
    <s v="Computers"/>
    <n v="10"/>
    <n v="5900"/>
    <x v="2"/>
    <x v="7"/>
  </r>
  <r>
    <d v="2023-04-26T00:00:00"/>
    <x v="7"/>
    <x v="5"/>
    <s v="Electronics"/>
    <n v="18"/>
    <n v="34272"/>
    <x v="1"/>
    <x v="6"/>
  </r>
  <r>
    <d v="2023-01-02T00:00:00"/>
    <x v="5"/>
    <x v="1"/>
    <s v="Accessories"/>
    <n v="18"/>
    <n v="20052"/>
    <x v="0"/>
    <x v="0"/>
  </r>
  <r>
    <d v="2023-08-30T00:00:00"/>
    <x v="9"/>
    <x v="2"/>
    <s v="Computers"/>
    <n v="14"/>
    <n v="6188"/>
    <x v="1"/>
    <x v="5"/>
  </r>
  <r>
    <d v="2024-11-08T00:00:00"/>
    <x v="0"/>
    <x v="3"/>
    <s v="Mobile"/>
    <n v="13"/>
    <n v="8645"/>
    <x v="0"/>
    <x v="1"/>
  </r>
  <r>
    <d v="2023-01-19T00:00:00"/>
    <x v="5"/>
    <x v="5"/>
    <s v="Electronics"/>
    <n v="19"/>
    <n v="29811"/>
    <x v="4"/>
    <x v="6"/>
  </r>
  <r>
    <d v="2023-01-19T00:00:00"/>
    <x v="5"/>
    <x v="8"/>
    <s v="Mobile"/>
    <n v="11"/>
    <n v="14718"/>
    <x v="0"/>
    <x v="7"/>
  </r>
  <r>
    <d v="2024-02-01T00:00:00"/>
    <x v="10"/>
    <x v="2"/>
    <s v="Computers"/>
    <n v="2"/>
    <n v="2998"/>
    <x v="1"/>
    <x v="5"/>
  </r>
  <r>
    <d v="2024-03-06T00:00:00"/>
    <x v="11"/>
    <x v="1"/>
    <s v="Accessories"/>
    <n v="5"/>
    <n v="6080"/>
    <x v="0"/>
    <x v="7"/>
  </r>
  <r>
    <d v="2025-05-17T00:00:00"/>
    <x v="1"/>
    <x v="1"/>
    <s v="Accessories"/>
    <n v="14"/>
    <n v="22078"/>
    <x v="1"/>
    <x v="7"/>
  </r>
  <r>
    <d v="2024-03-28T00:00:00"/>
    <x v="11"/>
    <x v="2"/>
    <s v="Computers"/>
    <n v="15"/>
    <n v="27435"/>
    <x v="3"/>
    <x v="2"/>
  </r>
  <r>
    <d v="2025-05-01T00:00:00"/>
    <x v="1"/>
    <x v="8"/>
    <s v="Mobile"/>
    <n v="17"/>
    <n v="15062"/>
    <x v="1"/>
    <x v="3"/>
  </r>
  <r>
    <d v="2024-08-12T00:00:00"/>
    <x v="9"/>
    <x v="4"/>
    <s v="Accessories"/>
    <n v="13"/>
    <n v="1989"/>
    <x v="1"/>
    <x v="7"/>
  </r>
  <r>
    <d v="2024-08-26T00:00:00"/>
    <x v="9"/>
    <x v="3"/>
    <s v="Mobile"/>
    <n v="12"/>
    <n v="23928"/>
    <x v="2"/>
    <x v="2"/>
  </r>
  <r>
    <d v="2024-06-05T00:00:00"/>
    <x v="2"/>
    <x v="5"/>
    <s v="Electronics"/>
    <n v="20"/>
    <n v="29900"/>
    <x v="1"/>
    <x v="2"/>
  </r>
  <r>
    <d v="2024-03-04T00:00:00"/>
    <x v="11"/>
    <x v="7"/>
    <s v="Computers"/>
    <n v="13"/>
    <n v="20475"/>
    <x v="4"/>
    <x v="7"/>
  </r>
  <r>
    <d v="2025-11-26T00:00:00"/>
    <x v="0"/>
    <x v="3"/>
    <s v="Mobile"/>
    <n v="8"/>
    <n v="10720"/>
    <x v="2"/>
    <x v="5"/>
  </r>
  <r>
    <d v="2024-04-29T00:00:00"/>
    <x v="7"/>
    <x v="8"/>
    <s v="Mobile"/>
    <n v="11"/>
    <n v="10450"/>
    <x v="4"/>
    <x v="5"/>
  </r>
  <r>
    <d v="2023-04-17T00:00:00"/>
    <x v="7"/>
    <x v="9"/>
    <s v="Wearables"/>
    <n v="20"/>
    <n v="29580"/>
    <x v="4"/>
    <x v="4"/>
  </r>
  <r>
    <d v="2023-02-04T00:00:00"/>
    <x v="10"/>
    <x v="1"/>
    <s v="Accessories"/>
    <n v="12"/>
    <n v="1056"/>
    <x v="3"/>
    <x v="0"/>
  </r>
  <r>
    <d v="2024-06-24T00:00:00"/>
    <x v="2"/>
    <x v="0"/>
    <s v="Office"/>
    <n v="5"/>
    <n v="5310"/>
    <x v="4"/>
    <x v="6"/>
  </r>
  <r>
    <d v="2025-10-27T00:00:00"/>
    <x v="6"/>
    <x v="5"/>
    <s v="Electronics"/>
    <n v="10"/>
    <n v="15740"/>
    <x v="0"/>
    <x v="2"/>
  </r>
  <r>
    <d v="2023-09-05T00:00:00"/>
    <x v="4"/>
    <x v="7"/>
    <s v="Computers"/>
    <n v="6"/>
    <n v="10134"/>
    <x v="0"/>
    <x v="4"/>
  </r>
  <r>
    <d v="2023-08-11T00:00:00"/>
    <x v="9"/>
    <x v="4"/>
    <s v="Accessories"/>
    <n v="10"/>
    <n v="580"/>
    <x v="1"/>
    <x v="3"/>
  </r>
  <r>
    <d v="2025-03-22T00:00:00"/>
    <x v="11"/>
    <x v="4"/>
    <s v="Accessories"/>
    <n v="9"/>
    <n v="558"/>
    <x v="1"/>
    <x v="1"/>
  </r>
  <r>
    <d v="2023-01-14T00:00:00"/>
    <x v="5"/>
    <x v="2"/>
    <s v="Computers"/>
    <n v="8"/>
    <n v="11480"/>
    <x v="2"/>
    <x v="0"/>
  </r>
  <r>
    <d v="2024-07-18T00:00:00"/>
    <x v="3"/>
    <x v="9"/>
    <s v="Wearables"/>
    <n v="20"/>
    <n v="17960"/>
    <x v="1"/>
    <x v="0"/>
  </r>
  <r>
    <d v="2023-05-28T00:00:00"/>
    <x v="1"/>
    <x v="9"/>
    <s v="Wearables"/>
    <n v="2"/>
    <n v="3972"/>
    <x v="0"/>
    <x v="2"/>
  </r>
  <r>
    <d v="2023-05-27T00:00:00"/>
    <x v="1"/>
    <x v="4"/>
    <s v="Accessories"/>
    <n v="2"/>
    <n v="1376"/>
    <x v="3"/>
    <x v="1"/>
  </r>
  <r>
    <d v="2025-07-10T00:00:00"/>
    <x v="3"/>
    <x v="9"/>
    <s v="Wearables"/>
    <n v="12"/>
    <n v="8880"/>
    <x v="2"/>
    <x v="3"/>
  </r>
  <r>
    <d v="2024-05-09T00:00:00"/>
    <x v="1"/>
    <x v="1"/>
    <s v="Accessories"/>
    <n v="1"/>
    <n v="1113"/>
    <x v="2"/>
    <x v="0"/>
  </r>
  <r>
    <d v="2025-07-31T00:00:00"/>
    <x v="3"/>
    <x v="7"/>
    <s v="Computers"/>
    <n v="19"/>
    <n v="24149"/>
    <x v="1"/>
    <x v="0"/>
  </r>
  <r>
    <d v="2025-08-09T00:00:00"/>
    <x v="9"/>
    <x v="5"/>
    <s v="Electronics"/>
    <n v="3"/>
    <n v="2610"/>
    <x v="0"/>
    <x v="4"/>
  </r>
  <r>
    <d v="2025-09-07T00:00:00"/>
    <x v="4"/>
    <x v="9"/>
    <s v="Wearables"/>
    <n v="3"/>
    <n v="5703"/>
    <x v="4"/>
    <x v="0"/>
  </r>
  <r>
    <d v="2025-12-29T00:00:00"/>
    <x v="8"/>
    <x v="9"/>
    <s v="Wearables"/>
    <n v="7"/>
    <n v="2429"/>
    <x v="1"/>
    <x v="7"/>
  </r>
  <r>
    <d v="2025-06-24T00:00:00"/>
    <x v="2"/>
    <x v="3"/>
    <s v="Mobile"/>
    <n v="18"/>
    <n v="32490"/>
    <x v="4"/>
    <x v="0"/>
  </r>
  <r>
    <d v="2023-01-23T00:00:00"/>
    <x v="5"/>
    <x v="9"/>
    <s v="Wearables"/>
    <n v="19"/>
    <n v="3477"/>
    <x v="4"/>
    <x v="4"/>
  </r>
  <r>
    <d v="2024-03-10T00:00:00"/>
    <x v="11"/>
    <x v="7"/>
    <s v="Computers"/>
    <n v="4"/>
    <n v="7868"/>
    <x v="3"/>
    <x v="2"/>
  </r>
  <r>
    <d v="2024-08-28T00:00:00"/>
    <x v="9"/>
    <x v="6"/>
    <s v="Accessories"/>
    <n v="8"/>
    <n v="6776"/>
    <x v="1"/>
    <x v="2"/>
  </r>
  <r>
    <d v="2023-06-21T00:00:00"/>
    <x v="2"/>
    <x v="8"/>
    <s v="Mobile"/>
    <n v="12"/>
    <n v="20208"/>
    <x v="0"/>
    <x v="2"/>
  </r>
  <r>
    <d v="2024-10-07T00:00:00"/>
    <x v="6"/>
    <x v="5"/>
    <s v="Electronics"/>
    <n v="11"/>
    <n v="11253"/>
    <x v="2"/>
    <x v="3"/>
  </r>
  <r>
    <d v="2023-02-16T00:00:00"/>
    <x v="10"/>
    <x v="3"/>
    <s v="Mobile"/>
    <n v="8"/>
    <n v="2584"/>
    <x v="4"/>
    <x v="1"/>
  </r>
  <r>
    <d v="2025-08-29T00:00:00"/>
    <x v="9"/>
    <x v="1"/>
    <s v="Accessories"/>
    <n v="18"/>
    <n v="2430"/>
    <x v="1"/>
    <x v="7"/>
  </r>
  <r>
    <d v="2025-04-16T00:00:00"/>
    <x v="7"/>
    <x v="0"/>
    <s v="Office"/>
    <n v="4"/>
    <n v="6628"/>
    <x v="0"/>
    <x v="4"/>
  </r>
  <r>
    <d v="2025-10-08T00:00:00"/>
    <x v="6"/>
    <x v="8"/>
    <s v="Mobile"/>
    <n v="10"/>
    <n v="2100"/>
    <x v="1"/>
    <x v="3"/>
  </r>
  <r>
    <d v="2024-03-05T00:00:00"/>
    <x v="11"/>
    <x v="0"/>
    <s v="Office"/>
    <n v="19"/>
    <n v="16359"/>
    <x v="0"/>
    <x v="4"/>
  </r>
  <r>
    <d v="2024-01-16T00:00:00"/>
    <x v="5"/>
    <x v="2"/>
    <s v="Computers"/>
    <n v="12"/>
    <n v="11376"/>
    <x v="3"/>
    <x v="1"/>
  </r>
  <r>
    <d v="2024-07-18T00:00:00"/>
    <x v="3"/>
    <x v="1"/>
    <s v="Accessories"/>
    <n v="16"/>
    <n v="12384"/>
    <x v="3"/>
    <x v="0"/>
  </r>
  <r>
    <d v="2024-04-07T00:00:00"/>
    <x v="7"/>
    <x v="0"/>
    <s v="Office"/>
    <n v="20"/>
    <n v="12360"/>
    <x v="1"/>
    <x v="4"/>
  </r>
  <r>
    <d v="2023-04-18T00:00:00"/>
    <x v="7"/>
    <x v="0"/>
    <s v="Office"/>
    <n v="6"/>
    <n v="3360"/>
    <x v="1"/>
    <x v="4"/>
  </r>
  <r>
    <d v="2024-11-19T00:00:00"/>
    <x v="0"/>
    <x v="0"/>
    <s v="Office"/>
    <n v="2"/>
    <n v="3006"/>
    <x v="2"/>
    <x v="3"/>
  </r>
  <r>
    <d v="2024-08-31T00:00:00"/>
    <x v="9"/>
    <x v="4"/>
    <s v="Accessories"/>
    <n v="19"/>
    <n v="29906"/>
    <x v="1"/>
    <x v="7"/>
  </r>
  <r>
    <d v="2024-07-04T00:00:00"/>
    <x v="3"/>
    <x v="6"/>
    <s v="Accessories"/>
    <n v="14"/>
    <n v="8106"/>
    <x v="3"/>
    <x v="5"/>
  </r>
  <r>
    <d v="2025-11-17T00:00:00"/>
    <x v="0"/>
    <x v="9"/>
    <s v="Wearables"/>
    <n v="12"/>
    <n v="2220"/>
    <x v="4"/>
    <x v="1"/>
  </r>
  <r>
    <d v="2024-11-26T00:00:00"/>
    <x v="0"/>
    <x v="6"/>
    <s v="Accessories"/>
    <n v="17"/>
    <n v="16932"/>
    <x v="3"/>
    <x v="0"/>
  </r>
  <r>
    <d v="2024-12-02T00:00:00"/>
    <x v="8"/>
    <x v="0"/>
    <s v="Office"/>
    <n v="15"/>
    <n v="1665"/>
    <x v="4"/>
    <x v="3"/>
  </r>
  <r>
    <d v="2024-03-31T00:00:00"/>
    <x v="11"/>
    <x v="6"/>
    <s v="Accessories"/>
    <n v="17"/>
    <n v="14484"/>
    <x v="4"/>
    <x v="0"/>
  </r>
  <r>
    <d v="2023-10-06T00:00:00"/>
    <x v="6"/>
    <x v="7"/>
    <s v="Computers"/>
    <n v="7"/>
    <n v="11893"/>
    <x v="3"/>
    <x v="5"/>
  </r>
  <r>
    <d v="2023-10-12T00:00:00"/>
    <x v="6"/>
    <x v="3"/>
    <s v="Mobile"/>
    <n v="13"/>
    <n v="13767"/>
    <x v="0"/>
    <x v="2"/>
  </r>
  <r>
    <d v="2025-05-07T00:00:00"/>
    <x v="1"/>
    <x v="1"/>
    <s v="Accessories"/>
    <n v="5"/>
    <n v="5420"/>
    <x v="4"/>
    <x v="6"/>
  </r>
  <r>
    <d v="2024-06-24T00:00:00"/>
    <x v="2"/>
    <x v="2"/>
    <s v="Computers"/>
    <n v="4"/>
    <n v="1732"/>
    <x v="2"/>
    <x v="5"/>
  </r>
  <r>
    <d v="2024-08-01T00:00:00"/>
    <x v="9"/>
    <x v="3"/>
    <s v="Mobile"/>
    <n v="17"/>
    <n v="20774"/>
    <x v="0"/>
    <x v="0"/>
  </r>
  <r>
    <d v="2024-05-25T00:00:00"/>
    <x v="1"/>
    <x v="6"/>
    <s v="Accessories"/>
    <n v="14"/>
    <n v="6650"/>
    <x v="3"/>
    <x v="1"/>
  </r>
  <r>
    <d v="2024-06-12T00:00:00"/>
    <x v="2"/>
    <x v="0"/>
    <s v="Office"/>
    <n v="14"/>
    <n v="12390"/>
    <x v="3"/>
    <x v="4"/>
  </r>
  <r>
    <d v="2024-04-01T00:00:00"/>
    <x v="7"/>
    <x v="2"/>
    <s v="Computers"/>
    <n v="4"/>
    <n v="7168"/>
    <x v="4"/>
    <x v="4"/>
  </r>
  <r>
    <d v="2024-02-09T00:00:00"/>
    <x v="10"/>
    <x v="2"/>
    <s v="Computers"/>
    <n v="18"/>
    <n v="3006"/>
    <x v="4"/>
    <x v="1"/>
  </r>
  <r>
    <d v="2024-01-21T00:00:00"/>
    <x v="5"/>
    <x v="3"/>
    <s v="Mobile"/>
    <n v="11"/>
    <n v="15752"/>
    <x v="1"/>
    <x v="5"/>
  </r>
  <r>
    <d v="2024-07-20T00:00:00"/>
    <x v="3"/>
    <x v="9"/>
    <s v="Wearables"/>
    <n v="12"/>
    <n v="18060"/>
    <x v="0"/>
    <x v="3"/>
  </r>
  <r>
    <d v="2023-07-31T00:00:00"/>
    <x v="3"/>
    <x v="6"/>
    <s v="Accessories"/>
    <n v="2"/>
    <n v="372"/>
    <x v="2"/>
    <x v="0"/>
  </r>
  <r>
    <d v="2025-05-26T00:00:00"/>
    <x v="1"/>
    <x v="7"/>
    <s v="Computers"/>
    <n v="5"/>
    <n v="5755"/>
    <x v="1"/>
    <x v="4"/>
  </r>
  <r>
    <d v="2024-11-03T00:00:00"/>
    <x v="0"/>
    <x v="2"/>
    <s v="Computers"/>
    <n v="10"/>
    <n v="3930"/>
    <x v="1"/>
    <x v="7"/>
  </r>
  <r>
    <d v="2023-11-30T00:00:00"/>
    <x v="0"/>
    <x v="6"/>
    <s v="Accessories"/>
    <n v="7"/>
    <n v="3668"/>
    <x v="1"/>
    <x v="2"/>
  </r>
  <r>
    <d v="2023-10-04T00:00:00"/>
    <x v="6"/>
    <x v="0"/>
    <s v="Office"/>
    <n v="10"/>
    <n v="11100"/>
    <x v="2"/>
    <x v="7"/>
  </r>
  <r>
    <d v="2025-07-03T00:00:00"/>
    <x v="3"/>
    <x v="0"/>
    <s v="Office"/>
    <n v="9"/>
    <n v="16362"/>
    <x v="3"/>
    <x v="6"/>
  </r>
  <r>
    <d v="2025-09-19T00:00:00"/>
    <x v="4"/>
    <x v="0"/>
    <s v="Office"/>
    <n v="1"/>
    <n v="988"/>
    <x v="3"/>
    <x v="6"/>
  </r>
  <r>
    <d v="2024-04-16T00:00:00"/>
    <x v="7"/>
    <x v="6"/>
    <s v="Accessories"/>
    <n v="16"/>
    <n v="6368"/>
    <x v="2"/>
    <x v="7"/>
  </r>
  <r>
    <d v="2025-12-27T00:00:00"/>
    <x v="8"/>
    <x v="3"/>
    <s v="Mobile"/>
    <n v="20"/>
    <n v="27740"/>
    <x v="4"/>
    <x v="2"/>
  </r>
  <r>
    <d v="2024-03-24T00:00:00"/>
    <x v="11"/>
    <x v="1"/>
    <s v="Accessories"/>
    <n v="8"/>
    <n v="648"/>
    <x v="1"/>
    <x v="6"/>
  </r>
  <r>
    <d v="2024-04-01T00:00:00"/>
    <x v="7"/>
    <x v="7"/>
    <s v="Computers"/>
    <n v="3"/>
    <n v="2838"/>
    <x v="2"/>
    <x v="6"/>
  </r>
  <r>
    <d v="2025-10-04T00:00:00"/>
    <x v="6"/>
    <x v="1"/>
    <s v="Accessories"/>
    <n v="7"/>
    <n v="3556"/>
    <x v="2"/>
    <x v="0"/>
  </r>
  <r>
    <d v="2025-10-06T00:00:00"/>
    <x v="6"/>
    <x v="2"/>
    <s v="Computers"/>
    <n v="3"/>
    <n v="1104"/>
    <x v="4"/>
    <x v="6"/>
  </r>
  <r>
    <d v="2023-03-06T00:00:00"/>
    <x v="11"/>
    <x v="2"/>
    <s v="Computers"/>
    <n v="19"/>
    <n v="22990"/>
    <x v="0"/>
    <x v="2"/>
  </r>
  <r>
    <d v="2023-06-20T00:00:00"/>
    <x v="2"/>
    <x v="0"/>
    <s v="Office"/>
    <n v="14"/>
    <n v="7112"/>
    <x v="4"/>
    <x v="6"/>
  </r>
  <r>
    <d v="2024-12-14T00:00:00"/>
    <x v="8"/>
    <x v="3"/>
    <s v="Mobile"/>
    <n v="7"/>
    <n v="13538"/>
    <x v="1"/>
    <x v="2"/>
  </r>
  <r>
    <d v="2023-03-05T00:00:00"/>
    <x v="11"/>
    <x v="6"/>
    <s v="Accessories"/>
    <n v="19"/>
    <n v="12369"/>
    <x v="2"/>
    <x v="5"/>
  </r>
  <r>
    <d v="2024-06-22T00:00:00"/>
    <x v="2"/>
    <x v="4"/>
    <s v="Accessories"/>
    <n v="5"/>
    <n v="4085"/>
    <x v="4"/>
    <x v="2"/>
  </r>
  <r>
    <d v="2025-02-05T00:00:00"/>
    <x v="10"/>
    <x v="7"/>
    <s v="Computers"/>
    <n v="15"/>
    <n v="17985"/>
    <x v="4"/>
    <x v="2"/>
  </r>
  <r>
    <d v="2024-02-18T00:00:00"/>
    <x v="10"/>
    <x v="1"/>
    <s v="Accessories"/>
    <n v="12"/>
    <n v="3324"/>
    <x v="4"/>
    <x v="1"/>
  </r>
  <r>
    <d v="2023-07-24T00:00:00"/>
    <x v="3"/>
    <x v="2"/>
    <s v="Computers"/>
    <n v="12"/>
    <n v="7296"/>
    <x v="2"/>
    <x v="7"/>
  </r>
  <r>
    <d v="2025-08-20T00:00:00"/>
    <x v="9"/>
    <x v="3"/>
    <s v="Mobile"/>
    <n v="5"/>
    <n v="7780"/>
    <x v="0"/>
    <x v="2"/>
  </r>
  <r>
    <d v="2024-04-24T00:00:00"/>
    <x v="7"/>
    <x v="8"/>
    <s v="Mobile"/>
    <n v="20"/>
    <n v="9960"/>
    <x v="1"/>
    <x v="0"/>
  </r>
  <r>
    <d v="2025-02-06T00:00:00"/>
    <x v="10"/>
    <x v="8"/>
    <s v="Mobile"/>
    <n v="9"/>
    <n v="2097"/>
    <x v="0"/>
    <x v="2"/>
  </r>
  <r>
    <d v="2023-03-30T00:00:00"/>
    <x v="11"/>
    <x v="4"/>
    <s v="Accessories"/>
    <n v="19"/>
    <n v="8683"/>
    <x v="3"/>
    <x v="0"/>
  </r>
  <r>
    <d v="2023-04-23T00:00:00"/>
    <x v="7"/>
    <x v="7"/>
    <s v="Computers"/>
    <n v="4"/>
    <n v="1336"/>
    <x v="1"/>
    <x v="4"/>
  </r>
  <r>
    <d v="2024-12-15T00:00:00"/>
    <x v="8"/>
    <x v="6"/>
    <s v="Accessories"/>
    <n v="14"/>
    <n v="13972"/>
    <x v="0"/>
    <x v="2"/>
  </r>
  <r>
    <d v="2024-08-13T00:00:00"/>
    <x v="9"/>
    <x v="3"/>
    <s v="Mobile"/>
    <n v="1"/>
    <n v="424"/>
    <x v="1"/>
    <x v="1"/>
  </r>
  <r>
    <d v="2023-03-27T00:00:00"/>
    <x v="11"/>
    <x v="0"/>
    <s v="Office"/>
    <n v="20"/>
    <n v="31980"/>
    <x v="1"/>
    <x v="1"/>
  </r>
  <r>
    <d v="2023-11-21T00:00:00"/>
    <x v="0"/>
    <x v="1"/>
    <s v="Accessories"/>
    <n v="15"/>
    <n v="20385"/>
    <x v="2"/>
    <x v="0"/>
  </r>
  <r>
    <d v="2025-11-28T00:00:00"/>
    <x v="0"/>
    <x v="5"/>
    <s v="Electronics"/>
    <n v="15"/>
    <n v="17445"/>
    <x v="0"/>
    <x v="1"/>
  </r>
  <r>
    <d v="2025-05-16T00:00:00"/>
    <x v="1"/>
    <x v="3"/>
    <s v="Mobile"/>
    <n v="4"/>
    <n v="2944"/>
    <x v="0"/>
    <x v="7"/>
  </r>
  <r>
    <d v="2025-07-04T00:00:00"/>
    <x v="3"/>
    <x v="2"/>
    <s v="Computers"/>
    <n v="7"/>
    <n v="11928"/>
    <x v="4"/>
    <x v="3"/>
  </r>
  <r>
    <d v="2025-06-24T00:00:00"/>
    <x v="2"/>
    <x v="3"/>
    <s v="Mobile"/>
    <n v="18"/>
    <n v="23832"/>
    <x v="3"/>
    <x v="4"/>
  </r>
  <r>
    <d v="2025-09-12T00:00:00"/>
    <x v="4"/>
    <x v="9"/>
    <s v="Wearables"/>
    <n v="3"/>
    <n v="4044"/>
    <x v="3"/>
    <x v="1"/>
  </r>
  <r>
    <d v="2023-09-18T00:00:00"/>
    <x v="4"/>
    <x v="7"/>
    <s v="Computers"/>
    <n v="10"/>
    <n v="18710"/>
    <x v="1"/>
    <x v="6"/>
  </r>
  <r>
    <d v="2023-01-31T00:00:00"/>
    <x v="5"/>
    <x v="9"/>
    <s v="Wearables"/>
    <n v="6"/>
    <n v="7098"/>
    <x v="1"/>
    <x v="4"/>
  </r>
  <r>
    <d v="2024-01-29T00:00:00"/>
    <x v="5"/>
    <x v="9"/>
    <s v="Wearables"/>
    <n v="17"/>
    <n v="27948"/>
    <x v="0"/>
    <x v="3"/>
  </r>
  <r>
    <d v="2025-05-28T00:00:00"/>
    <x v="1"/>
    <x v="3"/>
    <s v="Mobile"/>
    <n v="5"/>
    <n v="2475"/>
    <x v="1"/>
    <x v="7"/>
  </r>
  <r>
    <d v="2023-06-25T00:00:00"/>
    <x v="2"/>
    <x v="7"/>
    <s v="Computers"/>
    <n v="4"/>
    <n v="3480"/>
    <x v="4"/>
    <x v="4"/>
  </r>
  <r>
    <d v="2023-06-16T00:00:00"/>
    <x v="2"/>
    <x v="1"/>
    <s v="Accessories"/>
    <n v="9"/>
    <n v="15552"/>
    <x v="4"/>
    <x v="0"/>
  </r>
  <r>
    <d v="2023-07-10T00:00:00"/>
    <x v="3"/>
    <x v="2"/>
    <s v="Computers"/>
    <n v="12"/>
    <n v="8700"/>
    <x v="1"/>
    <x v="0"/>
  </r>
  <r>
    <d v="2024-03-08T00:00:00"/>
    <x v="11"/>
    <x v="4"/>
    <s v="Accessories"/>
    <n v="18"/>
    <n v="4212"/>
    <x v="2"/>
    <x v="1"/>
  </r>
  <r>
    <d v="2025-03-18T00:00:00"/>
    <x v="11"/>
    <x v="2"/>
    <s v="Computers"/>
    <n v="20"/>
    <n v="7420"/>
    <x v="3"/>
    <x v="5"/>
  </r>
  <r>
    <d v="2024-07-04T00:00:00"/>
    <x v="3"/>
    <x v="7"/>
    <s v="Computers"/>
    <n v="16"/>
    <n v="16320"/>
    <x v="4"/>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9F9053-0F1E-4416-A58D-E200914B20B1}" name="PivotTable1" cacheId="0"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2" rowHeaderCaption="Months 2025">
  <location ref="A3:B16" firstHeaderRow="1" firstDataRow="1" firstDataCol="1"/>
  <pivotFields count="8">
    <pivotField showAll="0"/>
    <pivotField axis="axisRow" showAll="0">
      <items count="13">
        <item x="5"/>
        <item x="10"/>
        <item x="11"/>
        <item x="7"/>
        <item x="1"/>
        <item x="2"/>
        <item x="3"/>
        <item x="9"/>
        <item x="4"/>
        <item x="6"/>
        <item x="0"/>
        <item x="8"/>
        <item t="default"/>
      </items>
    </pivotField>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Revenue" fld="5" baseField="0" baseItem="0"/>
  </dataFields>
  <formats count="2">
    <format dxfId="60">
      <pivotArea collapsedLevelsAreSubtotals="1" fieldPosition="0">
        <references count="1">
          <reference field="1" count="10">
            <x v="2"/>
            <x v="3"/>
            <x v="4"/>
            <x v="5"/>
            <x v="6"/>
            <x v="7"/>
            <x v="8"/>
            <x v="9"/>
            <x v="10"/>
            <x v="11"/>
          </reference>
        </references>
      </pivotArea>
    </format>
    <format dxfId="59">
      <pivotArea collapsedLevelsAreSubtotals="1" fieldPosition="0">
        <references count="1">
          <reference field="1" count="2">
            <x v="0"/>
            <x v="1"/>
          </reference>
        </references>
      </pivotArea>
    </format>
  </formats>
  <chartFormats count="6">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1" count="1" selected="0">
            <x v="1"/>
          </reference>
        </references>
      </pivotArea>
    </chartFormat>
    <chartFormat chart="1" format="8">
      <pivotArea type="data" outline="0" fieldPosition="0">
        <references count="2">
          <reference field="4294967294" count="1" selected="0">
            <x v="0"/>
          </reference>
          <reference field="1" count="1" selected="0">
            <x v="3"/>
          </reference>
        </references>
      </pivotArea>
    </chartFormat>
    <chartFormat chart="1" format="9">
      <pivotArea type="data" outline="0" fieldPosition="0">
        <references count="2">
          <reference field="4294967294" count="1" selected="0">
            <x v="0"/>
          </reference>
          <reference field="1" count="1" selected="0">
            <x v="5"/>
          </reference>
        </references>
      </pivotArea>
    </chartFormat>
    <chartFormat chart="1" format="10">
      <pivotArea type="data" outline="0" fieldPosition="0">
        <references count="2">
          <reference field="4294967294" count="1" selected="0">
            <x v="0"/>
          </reference>
          <reference field="1" count="1" selected="0">
            <x v="7"/>
          </reference>
        </references>
      </pivotArea>
    </chartFormat>
    <chartFormat chart="1" format="1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CC069-F24B-4471-91A6-C92FAF3FFC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2025">
  <location ref="A3:B14" firstHeaderRow="1" firstDataRow="1" firstDataCol="1"/>
  <pivotFields count="8">
    <pivotField showAll="0"/>
    <pivotField showAll="0"/>
    <pivotField axis="axisRow" showAll="0" sortType="ascending">
      <items count="11">
        <item x="5"/>
        <item x="1"/>
        <item x="6"/>
        <item x="2"/>
        <item x="7"/>
        <item x="4"/>
        <item x="0"/>
        <item x="8"/>
        <item x="9"/>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2"/>
  </rowFields>
  <rowItems count="11">
    <i>
      <x v="2"/>
    </i>
    <i>
      <x v="7"/>
    </i>
    <i>
      <x v="9"/>
    </i>
    <i>
      <x v="1"/>
    </i>
    <i>
      <x v="6"/>
    </i>
    <i>
      <x v="4"/>
    </i>
    <i>
      <x v="5"/>
    </i>
    <i>
      <x v="3"/>
    </i>
    <i>
      <x v="8"/>
    </i>
    <i>
      <x/>
    </i>
    <i t="grand">
      <x/>
    </i>
  </rowItems>
  <colItems count="1">
    <i/>
  </colItems>
  <dataFields count="1">
    <dataField name="Sum of Revenue" fld="5" baseField="0" baseItem="0" numFmtId="164"/>
  </dataFields>
  <formats count="2">
    <format dxfId="58">
      <pivotArea outline="0" collapsedLevelsAreSubtotals="1" fieldPosition="0"/>
    </format>
    <format dxfId="57">
      <pivotArea dataOnly="0" labelOnly="1" outline="0" axis="axisValues" fieldPosition="0"/>
    </format>
  </formats>
  <chartFormats count="11">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4"/>
          </reference>
        </references>
      </pivotArea>
    </chartFormat>
    <chartFormat chart="1" format="7">
      <pivotArea type="data" outline="0" fieldPosition="0">
        <references count="2">
          <reference field="4294967294" count="1" selected="0">
            <x v="0"/>
          </reference>
          <reference field="2" count="1" selected="0">
            <x v="5"/>
          </reference>
        </references>
      </pivotArea>
    </chartFormat>
    <chartFormat chart="1" format="8">
      <pivotArea type="data" outline="0" fieldPosition="0">
        <references count="2">
          <reference field="4294967294" count="1" selected="0">
            <x v="0"/>
          </reference>
          <reference field="2" count="1" selected="0">
            <x v="6"/>
          </reference>
        </references>
      </pivotArea>
    </chartFormat>
    <chartFormat chart="1" format="9">
      <pivotArea type="data" outline="0" fieldPosition="0">
        <references count="2">
          <reference field="4294967294" count="1" selected="0">
            <x v="0"/>
          </reference>
          <reference field="2" count="1" selected="0">
            <x v="7"/>
          </reference>
        </references>
      </pivotArea>
    </chartFormat>
    <chartFormat chart="1" format="10">
      <pivotArea type="data" outline="0" fieldPosition="0">
        <references count="2">
          <reference field="4294967294" count="1" selected="0">
            <x v="0"/>
          </reference>
          <reference field="2" count="1" selected="0">
            <x v="8"/>
          </reference>
        </references>
      </pivotArea>
    </chartFormat>
    <chartFormat chart="1" format="1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00743-BE7F-4F54-ADEF-3F398A0E47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venue by Region">
  <location ref="A3:B9" firstHeaderRow="1" firstDataRow="1" firstDataCol="1"/>
  <pivotFields count="8">
    <pivotField showAll="0"/>
    <pivotField showAll="0"/>
    <pivotField showAll="0"/>
    <pivotField showAll="0"/>
    <pivotField showAll="0"/>
    <pivotField dataField="1" showAll="0"/>
    <pivotField axis="axisRow" showAll="0">
      <items count="6">
        <item x="1"/>
        <item x="0"/>
        <item x="4"/>
        <item x="2"/>
        <item x="3"/>
        <item t="default"/>
      </items>
    </pivotField>
    <pivotField showAll="0"/>
  </pivotFields>
  <rowFields count="1">
    <field x="6"/>
  </rowFields>
  <rowItems count="6">
    <i>
      <x/>
    </i>
    <i>
      <x v="1"/>
    </i>
    <i>
      <x v="2"/>
    </i>
    <i>
      <x v="3"/>
    </i>
    <i>
      <x v="4"/>
    </i>
    <i t="grand">
      <x/>
    </i>
  </rowItems>
  <colItems count="1">
    <i/>
  </colItems>
  <dataFields count="1">
    <dataField name="Sum of Revenue" fld="5" baseField="0" baseItem="0" numFmtId="164"/>
  </dataFields>
  <formats count="2">
    <format dxfId="56">
      <pivotArea outline="0" collapsedLevelsAreSubtotals="1" fieldPosition="0"/>
    </format>
    <format dxfId="55">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2EB73E-C363-4EA4-8D01-74F9BD3719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person">
  <location ref="A3:B12" firstHeaderRow="1" firstDataRow="1" firstDataCol="1"/>
  <pivotFields count="8">
    <pivotField showAll="0"/>
    <pivotField showAll="0"/>
    <pivotField showAll="0"/>
    <pivotField showAll="0"/>
    <pivotField showAll="0"/>
    <pivotField dataField="1" showAll="0"/>
    <pivotField showAll="0"/>
    <pivotField axis="axisRow" showAll="0" sortType="ascending">
      <items count="9">
        <item x="1"/>
        <item x="4"/>
        <item x="5"/>
        <item x="0"/>
        <item x="7"/>
        <item x="3"/>
        <item x="2"/>
        <item x="6"/>
        <item t="default"/>
      </items>
      <autoSortScope>
        <pivotArea dataOnly="0" outline="0" fieldPosition="0">
          <references count="1">
            <reference field="4294967294" count="1" selected="0">
              <x v="0"/>
            </reference>
          </references>
        </pivotArea>
      </autoSortScope>
    </pivotField>
  </pivotFields>
  <rowFields count="1">
    <field x="7"/>
  </rowFields>
  <rowItems count="9">
    <i>
      <x/>
    </i>
    <i>
      <x v="7"/>
    </i>
    <i>
      <x v="2"/>
    </i>
    <i>
      <x v="4"/>
    </i>
    <i>
      <x v="5"/>
    </i>
    <i>
      <x v="1"/>
    </i>
    <i>
      <x v="6"/>
    </i>
    <i>
      <x v="3"/>
    </i>
    <i t="grand">
      <x/>
    </i>
  </rowItems>
  <colItems count="1">
    <i/>
  </colItems>
  <dataFields count="1">
    <dataField name="Average of Revenue" fld="5" subtotal="average" baseField="7" baseItem="0" numFmtId="164"/>
  </dataFields>
  <formats count="3">
    <format dxfId="54">
      <pivotArea collapsedLevelsAreSubtotals="1" fieldPosition="0">
        <references count="1">
          <reference field="7" count="1">
            <x v="0"/>
          </reference>
        </references>
      </pivotArea>
    </format>
    <format dxfId="53">
      <pivotArea outline="0" collapsedLevelsAreSubtotals="1" fieldPosition="0"/>
    </format>
    <format dxfId="52">
      <pivotArea dataOnly="0" labelOnly="1" outline="0" axis="axisValues" fieldPosition="0"/>
    </format>
  </formats>
  <chartFormats count="8">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7" count="1" selected="0">
            <x v="0"/>
          </reference>
        </references>
      </pivotArea>
    </chartFormat>
    <chartFormat chart="1" format="11">
      <pivotArea type="data" outline="0" fieldPosition="0">
        <references count="2">
          <reference field="4294967294" count="1" selected="0">
            <x v="0"/>
          </reference>
          <reference field="7" count="1" selected="0">
            <x v="7"/>
          </reference>
        </references>
      </pivotArea>
    </chartFormat>
    <chartFormat chart="1" format="12">
      <pivotArea type="data" outline="0" fieldPosition="0">
        <references count="2">
          <reference field="4294967294" count="1" selected="0">
            <x v="0"/>
          </reference>
          <reference field="7" count="1" selected="0">
            <x v="2"/>
          </reference>
        </references>
      </pivotArea>
    </chartFormat>
    <chartFormat chart="1" format="13">
      <pivotArea type="data" outline="0" fieldPosition="0">
        <references count="2">
          <reference field="4294967294" count="1" selected="0">
            <x v="0"/>
          </reference>
          <reference field="7" count="1" selected="0">
            <x v="4"/>
          </reference>
        </references>
      </pivotArea>
    </chartFormat>
    <chartFormat chart="1" format="14">
      <pivotArea type="data" outline="0" fieldPosition="0">
        <references count="2">
          <reference field="4294967294" count="1" selected="0">
            <x v="0"/>
          </reference>
          <reference field="7" count="1" selected="0">
            <x v="5"/>
          </reference>
        </references>
      </pivotArea>
    </chartFormat>
    <chartFormat chart="1" format="15">
      <pivotArea type="data" outline="0" fieldPosition="0">
        <references count="2">
          <reference field="4294967294" count="1" selected="0">
            <x v="0"/>
          </reference>
          <reference field="7" count="1" selected="0">
            <x v="1"/>
          </reference>
        </references>
      </pivotArea>
    </chartFormat>
    <chartFormat chart="1"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F551B3-A293-4CBD-86D5-677E7EA4939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B14" firstHeaderRow="1" firstDataRow="1" firstDataCol="1"/>
  <pivotFields count="8">
    <pivotField numFmtId="14" showAll="0"/>
    <pivotField showAll="0"/>
    <pivotField axis="axisRow" showAll="0">
      <items count="11">
        <item x="5"/>
        <item x="1"/>
        <item x="6"/>
        <item x="2"/>
        <item x="7"/>
        <item x="4"/>
        <item x="0"/>
        <item x="8"/>
        <item x="9"/>
        <item x="3"/>
        <item t="default"/>
      </items>
    </pivotField>
    <pivotField showAll="0"/>
    <pivotField showAll="0"/>
    <pivotField dataField="1" numFmtId="164"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A15FB8C-1A16-4ABF-87BA-CD61D8833B09}" sourceName="Product Name">
  <pivotTables>
    <pivotTable tabId="5" name="PivotTable2"/>
  </pivotTables>
  <data>
    <tabular pivotCacheId="1131304868" customListSort="0">
      <items count="10">
        <i x="5" s="1"/>
        <i x="1" s="1"/>
        <i x="6" s="1"/>
        <i x="2" s="1"/>
        <i x="7" s="1"/>
        <i x="4" s="1"/>
        <i x="0" s="1"/>
        <i x="8" s="1"/>
        <i x="9"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5F2AB0D-C30B-47F1-BD8C-2A1711D4DB28}" sourceName="Salesperson">
  <pivotTables>
    <pivotTable tabId="9" name="PivotTable7"/>
  </pivotTables>
  <data>
    <tabular pivotCacheId="1131304868">
      <items count="8">
        <i x="1" s="1"/>
        <i x="4" s="1"/>
        <i x="5" s="1"/>
        <i x="0" s="1"/>
        <i x="7" s="1"/>
        <i x="3" s="1"/>
        <i x="2"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E15E6B-638D-4FB5-9E4A-37613C9E6564}" sourceName="Region">
  <pivotTables>
    <pivotTable tabId="6" name="PivotTable3"/>
  </pivotTables>
  <data>
    <tabular pivotCacheId="1131304868">
      <items count="5">
        <i x="1" s="1"/>
        <i x="0" s="1"/>
        <i x="4" s="1"/>
        <i x="2"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74B4B00-A8F9-42C8-8DC6-591ED4EA7099}" sourceName="Month">
  <pivotTables>
    <pivotTable tabId="4" name="PivotTable1"/>
  </pivotTables>
  <data>
    <tabular pivotCacheId="1131304868">
      <items count="12">
        <i x="5" s="1"/>
        <i x="10" s="1"/>
        <i x="11" s="1"/>
        <i x="7" s="1"/>
        <i x="1" s="1"/>
        <i x="2" s="1"/>
        <i x="3" s="1"/>
        <i x="9" s="1"/>
        <i x="4" s="1"/>
        <i x="6" s="1"/>
        <i x="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97F932-E4B1-4B11-A50E-51ED91F8E04E}" cache="Slicer_Product_Name" caption="Product" columnCount="2" style="Slicer Style 2" rowHeight="216000"/>
  <slicer name="Salesperson" xr10:uid="{ADEB269A-03EC-42F4-9308-BDF47405A631}" cache="Slicer_Salesperson" caption="Salesperson" columnCount="2" style="Slicer Style 2" rowHeight="432000"/>
  <slicer name="Region" xr10:uid="{5B853F8E-C5FA-457C-A351-4BB5E38062A7}" cache="Slicer_Region" caption="Region" columnCount="2" style="Slicer Style 2" rowHeight="241300"/>
  <slicer name="Month" xr10:uid="{27DC45D6-039C-4506-9606-EA983EB7B4D4}" cache="Slicer_Month" caption="Month" columnCount="3"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433CC-C2FA-4FAF-8C3C-5DC709101C4E}">
  <dimension ref="A3:B16"/>
  <sheetViews>
    <sheetView workbookViewId="0">
      <selection activeCell="I11" sqref="I11"/>
    </sheetView>
  </sheetViews>
  <sheetFormatPr defaultRowHeight="15" x14ac:dyDescent="0.25"/>
  <cols>
    <col min="1" max="1" width="14.5703125" bestFit="1" customWidth="1"/>
    <col min="2" max="2" width="15.5703125" bestFit="1" customWidth="1"/>
  </cols>
  <sheetData>
    <row r="3" spans="1:2" x14ac:dyDescent="0.25">
      <c r="A3" s="4" t="s">
        <v>75</v>
      </c>
      <c r="B3" t="s">
        <v>74</v>
      </c>
    </row>
    <row r="4" spans="1:2" x14ac:dyDescent="0.25">
      <c r="A4" s="5" t="s">
        <v>29</v>
      </c>
      <c r="B4" s="3">
        <v>1669577</v>
      </c>
    </row>
    <row r="5" spans="1:2" x14ac:dyDescent="0.25">
      <c r="A5" s="5" t="s">
        <v>47</v>
      </c>
      <c r="B5" s="3">
        <v>947470</v>
      </c>
    </row>
    <row r="6" spans="1:2" x14ac:dyDescent="0.25">
      <c r="A6" s="5" t="s">
        <v>48</v>
      </c>
      <c r="B6" s="3">
        <v>1383290</v>
      </c>
    </row>
    <row r="7" spans="1:2" x14ac:dyDescent="0.25">
      <c r="A7" s="5" t="s">
        <v>40</v>
      </c>
      <c r="B7" s="3">
        <v>1425084</v>
      </c>
    </row>
    <row r="8" spans="1:2" x14ac:dyDescent="0.25">
      <c r="A8" s="5" t="s">
        <v>13</v>
      </c>
      <c r="B8" s="3">
        <v>1242283</v>
      </c>
    </row>
    <row r="9" spans="1:2" x14ac:dyDescent="0.25">
      <c r="A9" s="5" t="s">
        <v>18</v>
      </c>
      <c r="B9" s="3">
        <v>1511860</v>
      </c>
    </row>
    <row r="10" spans="1:2" x14ac:dyDescent="0.25">
      <c r="A10" s="5" t="s">
        <v>20</v>
      </c>
      <c r="B10" s="3">
        <v>1272228</v>
      </c>
    </row>
    <row r="11" spans="1:2" x14ac:dyDescent="0.25">
      <c r="A11" s="5" t="s">
        <v>46</v>
      </c>
      <c r="B11" s="3">
        <v>1577535</v>
      </c>
    </row>
    <row r="12" spans="1:2" x14ac:dyDescent="0.25">
      <c r="A12" s="5" t="s">
        <v>24</v>
      </c>
      <c r="B12" s="3">
        <v>1462047</v>
      </c>
    </row>
    <row r="13" spans="1:2" x14ac:dyDescent="0.25">
      <c r="A13" s="5" t="s">
        <v>33</v>
      </c>
      <c r="B13" s="3">
        <v>1110751</v>
      </c>
    </row>
    <row r="14" spans="1:2" x14ac:dyDescent="0.25">
      <c r="A14" s="5" t="s">
        <v>8</v>
      </c>
      <c r="B14" s="3">
        <v>1298609</v>
      </c>
    </row>
    <row r="15" spans="1:2" x14ac:dyDescent="0.25">
      <c r="A15" s="5" t="s">
        <v>42</v>
      </c>
      <c r="B15" s="3">
        <v>1340601</v>
      </c>
    </row>
    <row r="16" spans="1:2" x14ac:dyDescent="0.25">
      <c r="A16" s="5" t="s">
        <v>73</v>
      </c>
      <c r="B16">
        <v>16241335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E33A9-7BF4-4009-8134-0B0BA55795D0}">
  <dimension ref="A3:B15"/>
  <sheetViews>
    <sheetView workbookViewId="0">
      <selection activeCell="B3" sqref="B3"/>
    </sheetView>
  </sheetViews>
  <sheetFormatPr defaultRowHeight="15" x14ac:dyDescent="0.25"/>
  <cols>
    <col min="1" max="1" width="14.5703125" bestFit="1" customWidth="1"/>
    <col min="2" max="2" width="15.5703125" style="3" bestFit="1" customWidth="1"/>
  </cols>
  <sheetData>
    <row r="3" spans="1:2" x14ac:dyDescent="0.25">
      <c r="A3" s="4" t="s">
        <v>76</v>
      </c>
      <c r="B3" s="3" t="s">
        <v>74</v>
      </c>
    </row>
    <row r="4" spans="1:2" x14ac:dyDescent="0.25">
      <c r="A4" s="5" t="s">
        <v>37</v>
      </c>
      <c r="B4" s="3">
        <v>1406177</v>
      </c>
    </row>
    <row r="5" spans="1:2" x14ac:dyDescent="0.25">
      <c r="A5" s="5" t="s">
        <v>41</v>
      </c>
      <c r="B5" s="3">
        <v>1463488</v>
      </c>
    </row>
    <row r="6" spans="1:2" x14ac:dyDescent="0.25">
      <c r="A6" s="5" t="s">
        <v>25</v>
      </c>
      <c r="B6" s="3">
        <v>1495435</v>
      </c>
    </row>
    <row r="7" spans="1:2" x14ac:dyDescent="0.25">
      <c r="A7" s="5" t="s">
        <v>14</v>
      </c>
      <c r="B7" s="3">
        <v>1521873</v>
      </c>
    </row>
    <row r="8" spans="1:2" x14ac:dyDescent="0.25">
      <c r="A8" s="5" t="s">
        <v>9</v>
      </c>
      <c r="B8" s="3">
        <v>1526773</v>
      </c>
    </row>
    <row r="9" spans="1:2" x14ac:dyDescent="0.25">
      <c r="A9" s="5" t="s">
        <v>38</v>
      </c>
      <c r="B9" s="3">
        <v>1554360</v>
      </c>
    </row>
    <row r="10" spans="1:2" x14ac:dyDescent="0.25">
      <c r="A10" s="5" t="s">
        <v>30</v>
      </c>
      <c r="B10" s="3">
        <v>1554601</v>
      </c>
    </row>
    <row r="11" spans="1:2" x14ac:dyDescent="0.25">
      <c r="A11" s="5" t="s">
        <v>21</v>
      </c>
      <c r="B11" s="3">
        <v>1744853</v>
      </c>
    </row>
    <row r="12" spans="1:2" x14ac:dyDescent="0.25">
      <c r="A12" s="5" t="s">
        <v>44</v>
      </c>
      <c r="B12" s="3">
        <v>1946226</v>
      </c>
    </row>
    <row r="13" spans="1:2" x14ac:dyDescent="0.25">
      <c r="A13" s="5" t="s">
        <v>35</v>
      </c>
      <c r="B13" s="3">
        <v>2027549</v>
      </c>
    </row>
    <row r="14" spans="1:2" x14ac:dyDescent="0.25">
      <c r="A14" s="5" t="s">
        <v>73</v>
      </c>
      <c r="B14" s="3">
        <v>16241335</v>
      </c>
    </row>
    <row r="15" spans="1:2" x14ac:dyDescent="0.25">
      <c r="B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0815-025F-4B4A-A6D9-C6765F0179DA}">
  <dimension ref="A3:B10"/>
  <sheetViews>
    <sheetView workbookViewId="0">
      <selection activeCell="A3" sqref="A3:B10"/>
    </sheetView>
  </sheetViews>
  <sheetFormatPr defaultRowHeight="15" x14ac:dyDescent="0.25"/>
  <cols>
    <col min="1" max="1" width="20.5703125" bestFit="1" customWidth="1"/>
    <col min="2" max="2" width="15.5703125" style="3" bestFit="1" customWidth="1"/>
  </cols>
  <sheetData>
    <row r="3" spans="1:2" x14ac:dyDescent="0.25">
      <c r="A3" s="4" t="s">
        <v>77</v>
      </c>
      <c r="B3" s="3" t="s">
        <v>74</v>
      </c>
    </row>
    <row r="4" spans="1:2" x14ac:dyDescent="0.25">
      <c r="A4" s="5" t="s">
        <v>16</v>
      </c>
      <c r="B4" s="3">
        <v>3101439</v>
      </c>
    </row>
    <row r="5" spans="1:2" x14ac:dyDescent="0.25">
      <c r="A5" s="5" t="s">
        <v>11</v>
      </c>
      <c r="B5" s="3">
        <v>3046968</v>
      </c>
    </row>
    <row r="6" spans="1:2" x14ac:dyDescent="0.25">
      <c r="A6" s="5" t="s">
        <v>39</v>
      </c>
      <c r="B6" s="3">
        <v>3492200</v>
      </c>
    </row>
    <row r="7" spans="1:2" x14ac:dyDescent="0.25">
      <c r="A7" s="5" t="s">
        <v>27</v>
      </c>
      <c r="B7" s="3">
        <v>3030677</v>
      </c>
    </row>
    <row r="8" spans="1:2" x14ac:dyDescent="0.25">
      <c r="A8" s="5" t="s">
        <v>31</v>
      </c>
      <c r="B8" s="3">
        <v>3570051</v>
      </c>
    </row>
    <row r="9" spans="1:2" x14ac:dyDescent="0.25">
      <c r="A9" s="5" t="s">
        <v>73</v>
      </c>
      <c r="B9" s="3">
        <v>16241335</v>
      </c>
    </row>
    <row r="10" spans="1:2" x14ac:dyDescent="0.25">
      <c r="B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DC322-902D-4566-8FA7-6D0ADE349594}">
  <dimension ref="A3:B13"/>
  <sheetViews>
    <sheetView workbookViewId="0">
      <selection activeCell="E11" sqref="E11"/>
    </sheetView>
  </sheetViews>
  <sheetFormatPr defaultRowHeight="15" x14ac:dyDescent="0.25"/>
  <cols>
    <col min="1" max="1" width="15.42578125" bestFit="1" customWidth="1"/>
    <col min="2" max="2" width="19.140625" style="3" bestFit="1" customWidth="1"/>
    <col min="3" max="3" width="9.42578125" bestFit="1" customWidth="1"/>
    <col min="4" max="10" width="9.5703125" bestFit="1" customWidth="1"/>
    <col min="11" max="11" width="9.42578125" bestFit="1" customWidth="1"/>
    <col min="12" max="13" width="9.5703125" bestFit="1" customWidth="1"/>
    <col min="14" max="14" width="11.28515625" bestFit="1" customWidth="1"/>
  </cols>
  <sheetData>
    <row r="3" spans="1:2" x14ac:dyDescent="0.25">
      <c r="A3" s="4" t="s">
        <v>7</v>
      </c>
      <c r="B3" s="3" t="s">
        <v>78</v>
      </c>
    </row>
    <row r="4" spans="1:2" x14ac:dyDescent="0.25">
      <c r="A4" s="5" t="s">
        <v>17</v>
      </c>
      <c r="B4" s="3">
        <v>10057.36129032258</v>
      </c>
    </row>
    <row r="5" spans="1:2" x14ac:dyDescent="0.25">
      <c r="A5" s="5" t="s">
        <v>34</v>
      </c>
      <c r="B5" s="3">
        <v>10160.768844221106</v>
      </c>
    </row>
    <row r="6" spans="1:2" x14ac:dyDescent="0.25">
      <c r="A6" s="5" t="s">
        <v>32</v>
      </c>
      <c r="B6" s="3">
        <v>10282.887700534759</v>
      </c>
    </row>
    <row r="7" spans="1:2" x14ac:dyDescent="0.25">
      <c r="A7" s="5" t="s">
        <v>43</v>
      </c>
      <c r="B7" s="3">
        <v>10823.648780487805</v>
      </c>
    </row>
    <row r="8" spans="1:2" x14ac:dyDescent="0.25">
      <c r="A8" s="5" t="s">
        <v>23</v>
      </c>
      <c r="B8" s="3">
        <v>10982.195121951219</v>
      </c>
    </row>
    <row r="9" spans="1:2" x14ac:dyDescent="0.25">
      <c r="A9" s="5" t="s">
        <v>28</v>
      </c>
      <c r="B9" s="3">
        <v>10995.661835748791</v>
      </c>
    </row>
    <row r="10" spans="1:2" x14ac:dyDescent="0.25">
      <c r="A10" s="5" t="s">
        <v>19</v>
      </c>
      <c r="B10" s="3">
        <v>11310.433155080214</v>
      </c>
    </row>
    <row r="11" spans="1:2" x14ac:dyDescent="0.25">
      <c r="A11" s="5" t="s">
        <v>12</v>
      </c>
      <c r="B11" s="3">
        <v>11869.744897959185</v>
      </c>
    </row>
    <row r="12" spans="1:2" x14ac:dyDescent="0.25">
      <c r="A12" s="5" t="s">
        <v>73</v>
      </c>
      <c r="B12" s="3">
        <v>10827.556666666667</v>
      </c>
    </row>
    <row r="13" spans="1:2" x14ac:dyDescent="0.25">
      <c r="B13"/>
    </row>
  </sheetData>
  <conditionalFormatting sqref="A4:A1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5F28-CEE0-4489-9FB7-9B24B349C835}">
  <dimension ref="A3:B14"/>
  <sheetViews>
    <sheetView workbookViewId="0">
      <selection activeCell="A3" sqref="A3:B14"/>
    </sheetView>
  </sheetViews>
  <sheetFormatPr defaultRowHeight="15" x14ac:dyDescent="0.25"/>
  <cols>
    <col min="1" max="1" width="13.140625" bestFit="1" customWidth="1"/>
    <col min="2" max="2" width="15.5703125" bestFit="1" customWidth="1"/>
  </cols>
  <sheetData>
    <row r="3" spans="1:2" x14ac:dyDescent="0.25">
      <c r="A3" s="4" t="s">
        <v>82</v>
      </c>
      <c r="B3" t="s">
        <v>74</v>
      </c>
    </row>
    <row r="4" spans="1:2" x14ac:dyDescent="0.25">
      <c r="A4" s="5" t="s">
        <v>35</v>
      </c>
      <c r="B4">
        <v>2027549</v>
      </c>
    </row>
    <row r="5" spans="1:2" x14ac:dyDescent="0.25">
      <c r="A5" s="5" t="s">
        <v>14</v>
      </c>
      <c r="B5">
        <v>1521873</v>
      </c>
    </row>
    <row r="6" spans="1:2" x14ac:dyDescent="0.25">
      <c r="A6" s="5" t="s">
        <v>37</v>
      </c>
      <c r="B6">
        <v>1406177</v>
      </c>
    </row>
    <row r="7" spans="1:2" x14ac:dyDescent="0.25">
      <c r="A7" s="5" t="s">
        <v>21</v>
      </c>
      <c r="B7">
        <v>1744853</v>
      </c>
    </row>
    <row r="8" spans="1:2" x14ac:dyDescent="0.25">
      <c r="A8" s="5" t="s">
        <v>38</v>
      </c>
      <c r="B8">
        <v>1554360</v>
      </c>
    </row>
    <row r="9" spans="1:2" x14ac:dyDescent="0.25">
      <c r="A9" s="5" t="s">
        <v>30</v>
      </c>
      <c r="B9">
        <v>1554601</v>
      </c>
    </row>
    <row r="10" spans="1:2" x14ac:dyDescent="0.25">
      <c r="A10" s="5" t="s">
        <v>9</v>
      </c>
      <c r="B10">
        <v>1526773</v>
      </c>
    </row>
    <row r="11" spans="1:2" x14ac:dyDescent="0.25">
      <c r="A11" s="5" t="s">
        <v>41</v>
      </c>
      <c r="B11">
        <v>1463488</v>
      </c>
    </row>
    <row r="12" spans="1:2" x14ac:dyDescent="0.25">
      <c r="A12" s="5" t="s">
        <v>44</v>
      </c>
      <c r="B12">
        <v>1946226</v>
      </c>
    </row>
    <row r="13" spans="1:2" x14ac:dyDescent="0.25">
      <c r="A13" s="5" t="s">
        <v>25</v>
      </c>
      <c r="B13">
        <v>1495435</v>
      </c>
    </row>
    <row r="14" spans="1:2" x14ac:dyDescent="0.25">
      <c r="A14" s="5" t="s">
        <v>73</v>
      </c>
      <c r="B14">
        <v>16241335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56F31-8DA3-4397-BDA0-29BA694821DF}">
  <dimension ref="A1:T1501"/>
  <sheetViews>
    <sheetView workbookViewId="0">
      <selection sqref="A1:H1048576"/>
    </sheetView>
  </sheetViews>
  <sheetFormatPr defaultRowHeight="15" x14ac:dyDescent="0.25"/>
  <cols>
    <col min="1" max="1" width="10.7109375" bestFit="1" customWidth="1"/>
    <col min="2" max="2" width="6.85546875" bestFit="1" customWidth="1"/>
    <col min="3" max="3" width="13.7109375" bestFit="1" customWidth="1"/>
    <col min="4" max="4" width="11.28515625" bestFit="1" customWidth="1"/>
    <col min="5" max="5" width="9.85546875" bestFit="1" customWidth="1"/>
    <col min="6" max="6" width="13.140625" style="3" bestFit="1" customWidth="1"/>
    <col min="7" max="7" width="7.42578125" bestFit="1" customWidth="1"/>
    <col min="8" max="8" width="15.42578125" bestFit="1" customWidth="1"/>
    <col min="10" max="10" width="16.85546875" bestFit="1" customWidth="1"/>
    <col min="11" max="11" width="15.28515625" style="3" bestFit="1" customWidth="1"/>
    <col min="13" max="13" width="19.140625" bestFit="1" customWidth="1"/>
    <col min="14" max="14" width="15.5703125" style="3" bestFit="1" customWidth="1"/>
    <col min="16" max="16" width="12.140625" bestFit="1" customWidth="1"/>
    <col min="17" max="17" width="14.7109375" style="6" bestFit="1" customWidth="1"/>
    <col min="19" max="19" width="19" bestFit="1" customWidth="1"/>
    <col min="20" max="20" width="15.7109375" style="3" bestFit="1" customWidth="1"/>
  </cols>
  <sheetData>
    <row r="1" spans="1:20" x14ac:dyDescent="0.25">
      <c r="A1" t="s">
        <v>0</v>
      </c>
      <c r="B1" t="s">
        <v>1</v>
      </c>
      <c r="C1" t="s">
        <v>2</v>
      </c>
      <c r="D1" t="s">
        <v>3</v>
      </c>
      <c r="E1" t="s">
        <v>4</v>
      </c>
      <c r="F1" s="3" t="s">
        <v>5</v>
      </c>
      <c r="G1" t="s">
        <v>6</v>
      </c>
      <c r="H1" t="s">
        <v>7</v>
      </c>
      <c r="J1" t="s">
        <v>53</v>
      </c>
      <c r="K1" s="3" t="s">
        <v>66</v>
      </c>
      <c r="M1" t="s">
        <v>67</v>
      </c>
      <c r="N1" s="3" t="s">
        <v>68</v>
      </c>
      <c r="P1" t="s">
        <v>69</v>
      </c>
      <c r="Q1" s="6" t="s">
        <v>70</v>
      </c>
      <c r="S1" t="s">
        <v>71</v>
      </c>
      <c r="T1" s="3" t="s">
        <v>72</v>
      </c>
    </row>
    <row r="2" spans="1:20" x14ac:dyDescent="0.25">
      <c r="A2" s="1">
        <v>45240</v>
      </c>
      <c r="B2" t="s">
        <v>8</v>
      </c>
      <c r="C2" t="s">
        <v>9</v>
      </c>
      <c r="D2" t="s">
        <v>10</v>
      </c>
      <c r="E2">
        <v>9</v>
      </c>
      <c r="F2" s="3">
        <v>14751</v>
      </c>
      <c r="G2" t="s">
        <v>11</v>
      </c>
      <c r="H2" t="s">
        <v>12</v>
      </c>
      <c r="J2" t="s">
        <v>54</v>
      </c>
      <c r="K2" s="3">
        <f>SUMIFS(F:F,B:B,J2)</f>
        <v>1669577</v>
      </c>
      <c r="M2" t="s">
        <v>39</v>
      </c>
      <c r="N2" s="3">
        <f>SUMIFS(F:F,G:G,M2)</f>
        <v>3492200</v>
      </c>
      <c r="P2" t="s">
        <v>9</v>
      </c>
      <c r="Q2" s="6">
        <f>SUMIFS(F:F,C:C,"Printer")</f>
        <v>1526773</v>
      </c>
      <c r="S2" t="s">
        <v>17</v>
      </c>
      <c r="T2" s="3">
        <f>SUMIFS(F:F,H:H,"Alex Tan")</f>
        <v>1558891</v>
      </c>
    </row>
    <row r="3" spans="1:20" x14ac:dyDescent="0.25">
      <c r="A3" s="1">
        <v>45783</v>
      </c>
      <c r="B3" t="s">
        <v>13</v>
      </c>
      <c r="C3" t="s">
        <v>14</v>
      </c>
      <c r="D3" t="s">
        <v>15</v>
      </c>
      <c r="E3">
        <v>6</v>
      </c>
      <c r="F3" s="3">
        <v>8532</v>
      </c>
      <c r="G3" t="s">
        <v>16</v>
      </c>
      <c r="H3" t="s">
        <v>17</v>
      </c>
      <c r="J3" t="s">
        <v>55</v>
      </c>
      <c r="K3" s="3">
        <f t="shared" ref="K3:K13" si="0">SUMIFS(F:F,B:B,J3)</f>
        <v>947470</v>
      </c>
      <c r="M3" t="s">
        <v>27</v>
      </c>
      <c r="N3" s="3">
        <f t="shared" ref="N3:N6" si="1">SUMIFS(F:F,G:G,M3)</f>
        <v>3030677</v>
      </c>
      <c r="P3" t="s">
        <v>14</v>
      </c>
      <c r="Q3" s="6">
        <f>SUMIFS(F:F,C:C,"Headphones")</f>
        <v>1521873</v>
      </c>
      <c r="S3" t="s">
        <v>28</v>
      </c>
      <c r="T3" s="3">
        <f>SUMIFS(F:F,H:H,"Brian Lee")</f>
        <v>2276102</v>
      </c>
    </row>
    <row r="4" spans="1:20" x14ac:dyDescent="0.25">
      <c r="A4" s="1">
        <v>45469</v>
      </c>
      <c r="B4" t="s">
        <v>18</v>
      </c>
      <c r="C4" t="s">
        <v>9</v>
      </c>
      <c r="D4" t="s">
        <v>10</v>
      </c>
      <c r="E4">
        <v>18</v>
      </c>
      <c r="F4" s="3">
        <v>10764</v>
      </c>
      <c r="G4" t="s">
        <v>16</v>
      </c>
      <c r="H4" t="s">
        <v>19</v>
      </c>
      <c r="J4" t="s">
        <v>56</v>
      </c>
      <c r="K4" s="3">
        <f t="shared" si="0"/>
        <v>1383290</v>
      </c>
      <c r="M4" t="s">
        <v>11</v>
      </c>
      <c r="N4" s="3">
        <f t="shared" si="1"/>
        <v>3046968</v>
      </c>
      <c r="P4" t="s">
        <v>21</v>
      </c>
      <c r="Q4" s="6">
        <f>SUMIFS(F:F,C:C,"Laptop")</f>
        <v>1744853</v>
      </c>
      <c r="S4" t="s">
        <v>32</v>
      </c>
      <c r="T4" s="3">
        <f>SUMIFS(F:F,H:H,"Catherine Wong")</f>
        <v>1922900</v>
      </c>
    </row>
    <row r="5" spans="1:20" x14ac:dyDescent="0.25">
      <c r="A5" s="1">
        <v>45114</v>
      </c>
      <c r="B5" t="s">
        <v>20</v>
      </c>
      <c r="C5" t="s">
        <v>21</v>
      </c>
      <c r="D5" t="s">
        <v>22</v>
      </c>
      <c r="E5">
        <v>18</v>
      </c>
      <c r="F5" s="3">
        <v>5472</v>
      </c>
      <c r="G5" t="s">
        <v>16</v>
      </c>
      <c r="H5" t="s">
        <v>23</v>
      </c>
      <c r="J5" t="s">
        <v>57</v>
      </c>
      <c r="K5" s="3">
        <f t="shared" si="0"/>
        <v>1425084</v>
      </c>
      <c r="M5" t="s">
        <v>31</v>
      </c>
      <c r="N5" s="3">
        <f t="shared" si="1"/>
        <v>3570051</v>
      </c>
      <c r="P5" t="s">
        <v>25</v>
      </c>
      <c r="Q5" s="6">
        <f>SUMIFS(F:F,C:C,"Tablet")</f>
        <v>1495435</v>
      </c>
      <c r="S5" t="s">
        <v>12</v>
      </c>
      <c r="T5" s="3">
        <f>SUMIFS(F:F,H:H,"Daniel Lim")</f>
        <v>2326470</v>
      </c>
    </row>
    <row r="6" spans="1:20" x14ac:dyDescent="0.25">
      <c r="A6" s="1">
        <v>45548</v>
      </c>
      <c r="B6" t="s">
        <v>24</v>
      </c>
      <c r="C6" t="s">
        <v>25</v>
      </c>
      <c r="D6" t="s">
        <v>26</v>
      </c>
      <c r="E6">
        <v>13</v>
      </c>
      <c r="F6" s="3">
        <v>19266</v>
      </c>
      <c r="G6" t="s">
        <v>27</v>
      </c>
      <c r="H6" t="s">
        <v>28</v>
      </c>
      <c r="J6" t="s">
        <v>58</v>
      </c>
      <c r="K6" s="3">
        <f t="shared" si="0"/>
        <v>1242283</v>
      </c>
      <c r="M6" t="s">
        <v>16</v>
      </c>
      <c r="N6" s="3">
        <f t="shared" si="1"/>
        <v>3101439</v>
      </c>
      <c r="P6" t="s">
        <v>30</v>
      </c>
      <c r="Q6" s="6">
        <f>SUMIFS(F:F,C:C,"Mouse")</f>
        <v>1554601</v>
      </c>
      <c r="S6" t="s">
        <v>43</v>
      </c>
      <c r="T6" s="3">
        <f>SUMIFS(F:F,H:H,"Emily Chua")</f>
        <v>2218848</v>
      </c>
    </row>
    <row r="7" spans="1:20" x14ac:dyDescent="0.25">
      <c r="A7" s="1">
        <v>45668</v>
      </c>
      <c r="B7" t="s">
        <v>29</v>
      </c>
      <c r="C7" t="s">
        <v>30</v>
      </c>
      <c r="D7" t="s">
        <v>15</v>
      </c>
      <c r="E7">
        <v>16</v>
      </c>
      <c r="F7" s="3">
        <v>19504</v>
      </c>
      <c r="G7" t="s">
        <v>31</v>
      </c>
      <c r="H7" t="s">
        <v>32</v>
      </c>
      <c r="J7" t="s">
        <v>59</v>
      </c>
      <c r="K7" s="3">
        <f t="shared" si="0"/>
        <v>1511860</v>
      </c>
      <c r="P7" t="s">
        <v>38</v>
      </c>
      <c r="Q7" s="6">
        <f>SUMIFS(F:F,C:C,"Monitor")</f>
        <v>1554360</v>
      </c>
      <c r="S7" t="s">
        <v>23</v>
      </c>
      <c r="T7" s="3">
        <f>SUMIFS(F:F,H:H,"Farid Rahman")</f>
        <v>1801080</v>
      </c>
    </row>
    <row r="8" spans="1:20" x14ac:dyDescent="0.25">
      <c r="A8" s="1">
        <v>45208</v>
      </c>
      <c r="B8" t="s">
        <v>33</v>
      </c>
      <c r="C8" t="s">
        <v>14</v>
      </c>
      <c r="D8" t="s">
        <v>15</v>
      </c>
      <c r="E8">
        <v>8</v>
      </c>
      <c r="F8" s="3">
        <v>12056</v>
      </c>
      <c r="G8" t="s">
        <v>11</v>
      </c>
      <c r="H8" t="s">
        <v>34</v>
      </c>
      <c r="J8" t="s">
        <v>60</v>
      </c>
      <c r="K8" s="3">
        <f t="shared" si="0"/>
        <v>1272228</v>
      </c>
      <c r="P8" t="s">
        <v>44</v>
      </c>
      <c r="Q8" s="6">
        <f>SUMIFS(F:F,C:C,"Smartwatch")</f>
        <v>1946226</v>
      </c>
      <c r="S8" t="s">
        <v>19</v>
      </c>
      <c r="T8" s="3">
        <f>SUMIFS(F:F,H:H,"Grace Ong")</f>
        <v>2115051</v>
      </c>
    </row>
    <row r="9" spans="1:20" x14ac:dyDescent="0.25">
      <c r="A9" s="1">
        <v>45097</v>
      </c>
      <c r="B9" t="s">
        <v>18</v>
      </c>
      <c r="C9" t="s">
        <v>35</v>
      </c>
      <c r="D9" t="s">
        <v>36</v>
      </c>
      <c r="E9">
        <v>16</v>
      </c>
      <c r="F9" s="3">
        <v>4800</v>
      </c>
      <c r="G9" t="s">
        <v>16</v>
      </c>
      <c r="H9" t="s">
        <v>12</v>
      </c>
      <c r="J9" t="s">
        <v>61</v>
      </c>
      <c r="K9" s="3">
        <f t="shared" si="0"/>
        <v>1577535</v>
      </c>
      <c r="P9" t="s">
        <v>37</v>
      </c>
      <c r="Q9" s="6">
        <f>SUMIFS(F:F,C:C,"Keyboard")</f>
        <v>1406177</v>
      </c>
      <c r="S9" t="s">
        <v>34</v>
      </c>
      <c r="T9" s="3">
        <f>SUMIFS(F:F,H:H,"Hafiz Noor")</f>
        <v>2021993</v>
      </c>
    </row>
    <row r="10" spans="1:20" x14ac:dyDescent="0.25">
      <c r="A10" s="1">
        <v>45314</v>
      </c>
      <c r="B10" t="s">
        <v>29</v>
      </c>
      <c r="C10" t="s">
        <v>37</v>
      </c>
      <c r="D10" t="s">
        <v>15</v>
      </c>
      <c r="E10">
        <v>18</v>
      </c>
      <c r="F10" s="3">
        <v>9972</v>
      </c>
      <c r="G10" t="s">
        <v>31</v>
      </c>
      <c r="H10" t="s">
        <v>19</v>
      </c>
      <c r="J10" t="s">
        <v>62</v>
      </c>
      <c r="K10" s="3">
        <f t="shared" si="0"/>
        <v>1462047</v>
      </c>
      <c r="P10" t="s">
        <v>35</v>
      </c>
      <c r="Q10" s="6">
        <f>SUMIFS(F:F,C:C,"Camera")</f>
        <v>2027549</v>
      </c>
    </row>
    <row r="11" spans="1:20" x14ac:dyDescent="0.25">
      <c r="A11" s="1">
        <v>45918</v>
      </c>
      <c r="B11" t="s">
        <v>24</v>
      </c>
      <c r="C11" t="s">
        <v>30</v>
      </c>
      <c r="D11" t="s">
        <v>15</v>
      </c>
      <c r="E11">
        <v>10</v>
      </c>
      <c r="F11" s="3">
        <v>7460</v>
      </c>
      <c r="G11" t="s">
        <v>11</v>
      </c>
      <c r="H11" t="s">
        <v>32</v>
      </c>
      <c r="J11" t="s">
        <v>63</v>
      </c>
      <c r="K11" s="3">
        <f t="shared" si="0"/>
        <v>1110751</v>
      </c>
      <c r="P11" t="s">
        <v>41</v>
      </c>
      <c r="Q11" s="6">
        <f>SUMIFS(F:F,C:C,"Smartphone")</f>
        <v>1463488</v>
      </c>
    </row>
    <row r="12" spans="1:20" x14ac:dyDescent="0.25">
      <c r="A12" s="1">
        <v>45299</v>
      </c>
      <c r="B12" t="s">
        <v>29</v>
      </c>
      <c r="C12" t="s">
        <v>38</v>
      </c>
      <c r="D12" t="s">
        <v>22</v>
      </c>
      <c r="E12">
        <v>3</v>
      </c>
      <c r="F12" s="3">
        <v>1062</v>
      </c>
      <c r="G12" t="s">
        <v>11</v>
      </c>
      <c r="H12" t="s">
        <v>19</v>
      </c>
      <c r="J12" t="s">
        <v>64</v>
      </c>
      <c r="K12" s="3">
        <f t="shared" si="0"/>
        <v>1298609</v>
      </c>
    </row>
    <row r="13" spans="1:20" x14ac:dyDescent="0.25">
      <c r="A13" s="1">
        <v>45958</v>
      </c>
      <c r="B13" t="s">
        <v>33</v>
      </c>
      <c r="C13" t="s">
        <v>38</v>
      </c>
      <c r="D13" t="s">
        <v>22</v>
      </c>
      <c r="E13">
        <v>16</v>
      </c>
      <c r="F13" s="3">
        <v>8816</v>
      </c>
      <c r="G13" t="s">
        <v>39</v>
      </c>
      <c r="H13" t="s">
        <v>28</v>
      </c>
      <c r="J13" t="s">
        <v>65</v>
      </c>
      <c r="K13" s="3">
        <f t="shared" si="0"/>
        <v>1340601</v>
      </c>
    </row>
    <row r="14" spans="1:20" x14ac:dyDescent="0.25">
      <c r="A14" s="1">
        <v>45774</v>
      </c>
      <c r="B14" t="s">
        <v>40</v>
      </c>
      <c r="C14" t="s">
        <v>41</v>
      </c>
      <c r="D14" t="s">
        <v>26</v>
      </c>
      <c r="E14">
        <v>20</v>
      </c>
      <c r="F14" s="3">
        <v>36940</v>
      </c>
      <c r="G14" t="s">
        <v>39</v>
      </c>
      <c r="H14" t="s">
        <v>12</v>
      </c>
    </row>
    <row r="15" spans="1:20" x14ac:dyDescent="0.25">
      <c r="A15" s="1">
        <v>45999</v>
      </c>
      <c r="B15" t="s">
        <v>42</v>
      </c>
      <c r="C15" t="s">
        <v>14</v>
      </c>
      <c r="D15" t="s">
        <v>15</v>
      </c>
      <c r="E15">
        <v>14</v>
      </c>
      <c r="F15" s="3">
        <v>6762</v>
      </c>
      <c r="G15" t="s">
        <v>31</v>
      </c>
      <c r="H15" t="s">
        <v>12</v>
      </c>
    </row>
    <row r="16" spans="1:20" x14ac:dyDescent="0.25">
      <c r="A16" s="1">
        <v>45176</v>
      </c>
      <c r="B16" t="s">
        <v>24</v>
      </c>
      <c r="C16" t="s">
        <v>30</v>
      </c>
      <c r="D16" t="s">
        <v>15</v>
      </c>
      <c r="E16">
        <v>7</v>
      </c>
      <c r="F16" s="3">
        <v>13979</v>
      </c>
      <c r="G16" t="s">
        <v>16</v>
      </c>
      <c r="H16" t="s">
        <v>32</v>
      </c>
    </row>
    <row r="17" spans="1:8" x14ac:dyDescent="0.25">
      <c r="A17" s="1">
        <v>45903</v>
      </c>
      <c r="B17" t="s">
        <v>24</v>
      </c>
      <c r="C17" t="s">
        <v>37</v>
      </c>
      <c r="D17" t="s">
        <v>15</v>
      </c>
      <c r="E17">
        <v>5</v>
      </c>
      <c r="F17" s="3">
        <v>7075</v>
      </c>
      <c r="G17" t="s">
        <v>27</v>
      </c>
      <c r="H17" t="s">
        <v>43</v>
      </c>
    </row>
    <row r="18" spans="1:8" x14ac:dyDescent="0.25">
      <c r="A18" s="1">
        <v>45778</v>
      </c>
      <c r="B18" t="s">
        <v>13</v>
      </c>
      <c r="C18" t="s">
        <v>9</v>
      </c>
      <c r="D18" t="s">
        <v>10</v>
      </c>
      <c r="E18">
        <v>20</v>
      </c>
      <c r="F18" s="3">
        <v>20640</v>
      </c>
      <c r="G18" t="s">
        <v>31</v>
      </c>
      <c r="H18" t="s">
        <v>12</v>
      </c>
    </row>
    <row r="19" spans="1:8" x14ac:dyDescent="0.25">
      <c r="A19" s="1">
        <v>45298</v>
      </c>
      <c r="B19" t="s">
        <v>29</v>
      </c>
      <c r="C19" t="s">
        <v>21</v>
      </c>
      <c r="D19" t="s">
        <v>22</v>
      </c>
      <c r="E19">
        <v>6</v>
      </c>
      <c r="F19" s="3">
        <v>4884</v>
      </c>
      <c r="G19" t="s">
        <v>27</v>
      </c>
      <c r="H19" t="s">
        <v>28</v>
      </c>
    </row>
    <row r="20" spans="1:8" x14ac:dyDescent="0.25">
      <c r="A20" s="1">
        <v>45039</v>
      </c>
      <c r="B20" t="s">
        <v>40</v>
      </c>
      <c r="C20" t="s">
        <v>44</v>
      </c>
      <c r="D20" t="s">
        <v>45</v>
      </c>
      <c r="E20">
        <v>16</v>
      </c>
      <c r="F20" s="3">
        <v>19376</v>
      </c>
      <c r="G20" t="s">
        <v>27</v>
      </c>
      <c r="H20" t="s">
        <v>23</v>
      </c>
    </row>
    <row r="21" spans="1:8" x14ac:dyDescent="0.25">
      <c r="A21" s="1">
        <v>45406</v>
      </c>
      <c r="B21" t="s">
        <v>40</v>
      </c>
      <c r="C21" t="s">
        <v>25</v>
      </c>
      <c r="D21" t="s">
        <v>26</v>
      </c>
      <c r="E21">
        <v>1</v>
      </c>
      <c r="F21" s="3">
        <v>1835</v>
      </c>
      <c r="G21" t="s">
        <v>11</v>
      </c>
      <c r="H21" t="s">
        <v>17</v>
      </c>
    </row>
    <row r="22" spans="1:8" x14ac:dyDescent="0.25">
      <c r="A22" s="1">
        <v>45595</v>
      </c>
      <c r="B22" t="s">
        <v>33</v>
      </c>
      <c r="C22" t="s">
        <v>9</v>
      </c>
      <c r="D22" t="s">
        <v>10</v>
      </c>
      <c r="E22">
        <v>3</v>
      </c>
      <c r="F22" s="3">
        <v>3081</v>
      </c>
      <c r="G22" t="s">
        <v>16</v>
      </c>
      <c r="H22" t="s">
        <v>32</v>
      </c>
    </row>
    <row r="23" spans="1:8" x14ac:dyDescent="0.25">
      <c r="A23" s="1">
        <v>45751</v>
      </c>
      <c r="B23" t="s">
        <v>40</v>
      </c>
      <c r="C23" t="s">
        <v>44</v>
      </c>
      <c r="D23" t="s">
        <v>45</v>
      </c>
      <c r="E23">
        <v>15</v>
      </c>
      <c r="F23" s="3">
        <v>26775</v>
      </c>
      <c r="G23" t="s">
        <v>39</v>
      </c>
      <c r="H23" t="s">
        <v>28</v>
      </c>
    </row>
    <row r="24" spans="1:8" x14ac:dyDescent="0.25">
      <c r="A24" s="1">
        <v>45579</v>
      </c>
      <c r="B24" t="s">
        <v>33</v>
      </c>
      <c r="C24" t="s">
        <v>44</v>
      </c>
      <c r="D24" t="s">
        <v>45</v>
      </c>
      <c r="E24">
        <v>2</v>
      </c>
      <c r="F24" s="3">
        <v>2848</v>
      </c>
      <c r="G24" t="s">
        <v>27</v>
      </c>
      <c r="H24" t="s">
        <v>19</v>
      </c>
    </row>
    <row r="25" spans="1:8" x14ac:dyDescent="0.25">
      <c r="A25" s="1">
        <v>45023</v>
      </c>
      <c r="B25" t="s">
        <v>40</v>
      </c>
      <c r="C25" t="s">
        <v>38</v>
      </c>
      <c r="D25" t="s">
        <v>22</v>
      </c>
      <c r="E25">
        <v>8</v>
      </c>
      <c r="F25" s="3">
        <v>9760</v>
      </c>
      <c r="G25" t="s">
        <v>27</v>
      </c>
      <c r="H25" t="s">
        <v>32</v>
      </c>
    </row>
    <row r="26" spans="1:8" x14ac:dyDescent="0.25">
      <c r="A26" s="1">
        <v>44955</v>
      </c>
      <c r="B26" t="s">
        <v>29</v>
      </c>
      <c r="C26" t="s">
        <v>41</v>
      </c>
      <c r="D26" t="s">
        <v>26</v>
      </c>
      <c r="E26">
        <v>16</v>
      </c>
      <c r="F26" s="3">
        <v>20688</v>
      </c>
      <c r="G26" t="s">
        <v>39</v>
      </c>
      <c r="H26" t="s">
        <v>28</v>
      </c>
    </row>
    <row r="27" spans="1:8" x14ac:dyDescent="0.25">
      <c r="A27" s="1">
        <v>45020</v>
      </c>
      <c r="B27" t="s">
        <v>40</v>
      </c>
      <c r="C27" t="s">
        <v>37</v>
      </c>
      <c r="D27" t="s">
        <v>15</v>
      </c>
      <c r="E27">
        <v>10</v>
      </c>
      <c r="F27" s="3">
        <v>600</v>
      </c>
      <c r="G27" t="s">
        <v>27</v>
      </c>
      <c r="H27" t="s">
        <v>34</v>
      </c>
    </row>
    <row r="28" spans="1:8" x14ac:dyDescent="0.25">
      <c r="A28" s="1">
        <v>45511</v>
      </c>
      <c r="B28" t="s">
        <v>46</v>
      </c>
      <c r="C28" t="s">
        <v>38</v>
      </c>
      <c r="D28" t="s">
        <v>22</v>
      </c>
      <c r="E28">
        <v>1</v>
      </c>
      <c r="F28" s="3">
        <v>161</v>
      </c>
      <c r="G28" t="s">
        <v>31</v>
      </c>
      <c r="H28" t="s">
        <v>43</v>
      </c>
    </row>
    <row r="29" spans="1:8" x14ac:dyDescent="0.25">
      <c r="A29" s="1">
        <v>45534</v>
      </c>
      <c r="B29" t="s">
        <v>46</v>
      </c>
      <c r="C29" t="s">
        <v>37</v>
      </c>
      <c r="D29" t="s">
        <v>15</v>
      </c>
      <c r="E29">
        <v>2</v>
      </c>
      <c r="F29" s="3">
        <v>2390</v>
      </c>
      <c r="G29" t="s">
        <v>16</v>
      </c>
      <c r="H29" t="s">
        <v>34</v>
      </c>
    </row>
    <row r="30" spans="1:8" x14ac:dyDescent="0.25">
      <c r="A30" s="1">
        <v>45715</v>
      </c>
      <c r="B30" t="s">
        <v>47</v>
      </c>
      <c r="C30" t="s">
        <v>30</v>
      </c>
      <c r="D30" t="s">
        <v>15</v>
      </c>
      <c r="E30">
        <v>10</v>
      </c>
      <c r="F30" s="3">
        <v>13490</v>
      </c>
      <c r="G30" t="s">
        <v>39</v>
      </c>
      <c r="H30" t="s">
        <v>12</v>
      </c>
    </row>
    <row r="31" spans="1:8" x14ac:dyDescent="0.25">
      <c r="A31" s="1">
        <v>45538</v>
      </c>
      <c r="B31" t="s">
        <v>24</v>
      </c>
      <c r="C31" t="s">
        <v>38</v>
      </c>
      <c r="D31" t="s">
        <v>22</v>
      </c>
      <c r="E31">
        <v>15</v>
      </c>
      <c r="F31" s="3">
        <v>25125</v>
      </c>
      <c r="G31" t="s">
        <v>11</v>
      </c>
      <c r="H31" t="s">
        <v>17</v>
      </c>
    </row>
    <row r="32" spans="1:8" x14ac:dyDescent="0.25">
      <c r="A32" s="1">
        <v>45873</v>
      </c>
      <c r="B32" t="s">
        <v>46</v>
      </c>
      <c r="C32" t="s">
        <v>21</v>
      </c>
      <c r="D32" t="s">
        <v>22</v>
      </c>
      <c r="E32">
        <v>13</v>
      </c>
      <c r="F32" s="3">
        <v>7839</v>
      </c>
      <c r="G32" t="s">
        <v>11</v>
      </c>
      <c r="H32" t="s">
        <v>23</v>
      </c>
    </row>
    <row r="33" spans="1:8" x14ac:dyDescent="0.25">
      <c r="A33" s="1">
        <v>46002</v>
      </c>
      <c r="B33" t="s">
        <v>42</v>
      </c>
      <c r="C33" t="s">
        <v>37</v>
      </c>
      <c r="D33" t="s">
        <v>15</v>
      </c>
      <c r="E33">
        <v>10</v>
      </c>
      <c r="F33" s="3">
        <v>11940</v>
      </c>
      <c r="G33" t="s">
        <v>11</v>
      </c>
      <c r="H33" t="s">
        <v>28</v>
      </c>
    </row>
    <row r="34" spans="1:8" x14ac:dyDescent="0.25">
      <c r="A34" s="1">
        <v>44992</v>
      </c>
      <c r="B34" t="s">
        <v>48</v>
      </c>
      <c r="C34" t="s">
        <v>37</v>
      </c>
      <c r="D34" t="s">
        <v>15</v>
      </c>
      <c r="E34">
        <v>3</v>
      </c>
      <c r="F34" s="3">
        <v>2499</v>
      </c>
      <c r="G34" t="s">
        <v>16</v>
      </c>
      <c r="H34" t="s">
        <v>34</v>
      </c>
    </row>
    <row r="35" spans="1:8" x14ac:dyDescent="0.25">
      <c r="A35" s="1">
        <v>45182</v>
      </c>
      <c r="B35" t="s">
        <v>24</v>
      </c>
      <c r="C35" t="s">
        <v>9</v>
      </c>
      <c r="D35" t="s">
        <v>10</v>
      </c>
      <c r="E35">
        <v>6</v>
      </c>
      <c r="F35" s="3">
        <v>10620</v>
      </c>
      <c r="G35" t="s">
        <v>39</v>
      </c>
      <c r="H35" t="s">
        <v>17</v>
      </c>
    </row>
    <row r="36" spans="1:8" x14ac:dyDescent="0.25">
      <c r="A36" s="1">
        <v>45331</v>
      </c>
      <c r="B36" t="s">
        <v>47</v>
      </c>
      <c r="C36" t="s">
        <v>25</v>
      </c>
      <c r="D36" t="s">
        <v>26</v>
      </c>
      <c r="E36">
        <v>13</v>
      </c>
      <c r="F36" s="3">
        <v>1599</v>
      </c>
      <c r="G36" t="s">
        <v>39</v>
      </c>
      <c r="H36" t="s">
        <v>17</v>
      </c>
    </row>
    <row r="37" spans="1:8" x14ac:dyDescent="0.25">
      <c r="A37" s="1">
        <v>45609</v>
      </c>
      <c r="B37" t="s">
        <v>8</v>
      </c>
      <c r="C37" t="s">
        <v>35</v>
      </c>
      <c r="D37" t="s">
        <v>36</v>
      </c>
      <c r="E37">
        <v>13</v>
      </c>
      <c r="F37" s="3">
        <v>9932</v>
      </c>
      <c r="G37" t="s">
        <v>39</v>
      </c>
      <c r="H37" t="s">
        <v>17</v>
      </c>
    </row>
    <row r="38" spans="1:8" x14ac:dyDescent="0.25">
      <c r="A38" s="1">
        <v>45049</v>
      </c>
      <c r="B38" t="s">
        <v>13</v>
      </c>
      <c r="C38" t="s">
        <v>44</v>
      </c>
      <c r="D38" t="s">
        <v>45</v>
      </c>
      <c r="E38">
        <v>4</v>
      </c>
      <c r="F38" s="3">
        <v>6504</v>
      </c>
      <c r="G38" t="s">
        <v>16</v>
      </c>
      <c r="H38" t="s">
        <v>12</v>
      </c>
    </row>
    <row r="39" spans="1:8" x14ac:dyDescent="0.25">
      <c r="A39" s="1">
        <v>45885</v>
      </c>
      <c r="B39" t="s">
        <v>46</v>
      </c>
      <c r="C39" t="s">
        <v>35</v>
      </c>
      <c r="D39" t="s">
        <v>36</v>
      </c>
      <c r="E39">
        <v>7</v>
      </c>
      <c r="F39" s="3">
        <v>8316</v>
      </c>
      <c r="G39" t="s">
        <v>11</v>
      </c>
      <c r="H39" t="s">
        <v>19</v>
      </c>
    </row>
    <row r="40" spans="1:8" x14ac:dyDescent="0.25">
      <c r="A40" s="1">
        <v>45194</v>
      </c>
      <c r="B40" t="s">
        <v>24</v>
      </c>
      <c r="C40" t="s">
        <v>37</v>
      </c>
      <c r="D40" t="s">
        <v>15</v>
      </c>
      <c r="E40">
        <v>19</v>
      </c>
      <c r="F40" s="3">
        <v>32528</v>
      </c>
      <c r="G40" t="s">
        <v>39</v>
      </c>
      <c r="H40" t="s">
        <v>28</v>
      </c>
    </row>
    <row r="41" spans="1:8" x14ac:dyDescent="0.25">
      <c r="A41" s="1">
        <v>45669</v>
      </c>
      <c r="B41" t="s">
        <v>29</v>
      </c>
      <c r="C41" t="s">
        <v>37</v>
      </c>
      <c r="D41" t="s">
        <v>15</v>
      </c>
      <c r="E41">
        <v>20</v>
      </c>
      <c r="F41" s="3">
        <v>36120</v>
      </c>
      <c r="G41" t="s">
        <v>39</v>
      </c>
      <c r="H41" t="s">
        <v>28</v>
      </c>
    </row>
    <row r="42" spans="1:8" x14ac:dyDescent="0.25">
      <c r="A42" s="1">
        <v>45983</v>
      </c>
      <c r="B42" t="s">
        <v>8</v>
      </c>
      <c r="C42" t="s">
        <v>38</v>
      </c>
      <c r="D42" t="s">
        <v>22</v>
      </c>
      <c r="E42">
        <v>19</v>
      </c>
      <c r="F42" s="3">
        <v>35093</v>
      </c>
      <c r="G42" t="s">
        <v>16</v>
      </c>
      <c r="H42" t="s">
        <v>34</v>
      </c>
    </row>
    <row r="43" spans="1:8" x14ac:dyDescent="0.25">
      <c r="A43" s="1">
        <v>45708</v>
      </c>
      <c r="B43" t="s">
        <v>47</v>
      </c>
      <c r="C43" t="s">
        <v>21</v>
      </c>
      <c r="D43" t="s">
        <v>22</v>
      </c>
      <c r="E43">
        <v>20</v>
      </c>
      <c r="F43" s="3">
        <v>13940</v>
      </c>
      <c r="G43" t="s">
        <v>16</v>
      </c>
      <c r="H43" t="s">
        <v>19</v>
      </c>
    </row>
    <row r="44" spans="1:8" x14ac:dyDescent="0.25">
      <c r="A44" s="1">
        <v>45182</v>
      </c>
      <c r="B44" t="s">
        <v>24</v>
      </c>
      <c r="C44" t="s">
        <v>21</v>
      </c>
      <c r="D44" t="s">
        <v>22</v>
      </c>
      <c r="E44">
        <v>13</v>
      </c>
      <c r="F44" s="3">
        <v>12506</v>
      </c>
      <c r="G44" t="s">
        <v>31</v>
      </c>
      <c r="H44" t="s">
        <v>28</v>
      </c>
    </row>
    <row r="45" spans="1:8" x14ac:dyDescent="0.25">
      <c r="A45" s="1">
        <v>45952</v>
      </c>
      <c r="B45" t="s">
        <v>33</v>
      </c>
      <c r="C45" t="s">
        <v>38</v>
      </c>
      <c r="D45" t="s">
        <v>22</v>
      </c>
      <c r="E45">
        <v>18</v>
      </c>
      <c r="F45" s="3">
        <v>22626</v>
      </c>
      <c r="G45" t="s">
        <v>39</v>
      </c>
      <c r="H45" t="s">
        <v>43</v>
      </c>
    </row>
    <row r="46" spans="1:8" x14ac:dyDescent="0.25">
      <c r="A46" s="1">
        <v>45748</v>
      </c>
      <c r="B46" t="s">
        <v>40</v>
      </c>
      <c r="C46" t="s">
        <v>37</v>
      </c>
      <c r="D46" t="s">
        <v>15</v>
      </c>
      <c r="E46">
        <v>3</v>
      </c>
      <c r="F46" s="3">
        <v>4506</v>
      </c>
      <c r="G46" t="s">
        <v>11</v>
      </c>
      <c r="H46" t="s">
        <v>28</v>
      </c>
    </row>
    <row r="47" spans="1:8" x14ac:dyDescent="0.25">
      <c r="A47" s="1">
        <v>45745</v>
      </c>
      <c r="B47" t="s">
        <v>48</v>
      </c>
      <c r="C47" t="s">
        <v>9</v>
      </c>
      <c r="D47" t="s">
        <v>10</v>
      </c>
      <c r="E47">
        <v>13</v>
      </c>
      <c r="F47" s="3">
        <v>4004</v>
      </c>
      <c r="G47" t="s">
        <v>11</v>
      </c>
      <c r="H47" t="s">
        <v>28</v>
      </c>
    </row>
    <row r="48" spans="1:8" x14ac:dyDescent="0.25">
      <c r="A48" s="1">
        <v>45342</v>
      </c>
      <c r="B48" t="s">
        <v>47</v>
      </c>
      <c r="C48" t="s">
        <v>21</v>
      </c>
      <c r="D48" t="s">
        <v>22</v>
      </c>
      <c r="E48">
        <v>1</v>
      </c>
      <c r="F48" s="3">
        <v>997</v>
      </c>
      <c r="G48" t="s">
        <v>11</v>
      </c>
      <c r="H48" t="s">
        <v>12</v>
      </c>
    </row>
    <row r="49" spans="1:8" x14ac:dyDescent="0.25">
      <c r="A49" s="1">
        <v>45041</v>
      </c>
      <c r="B49" t="s">
        <v>40</v>
      </c>
      <c r="C49" t="s">
        <v>38</v>
      </c>
      <c r="D49" t="s">
        <v>22</v>
      </c>
      <c r="E49">
        <v>10</v>
      </c>
      <c r="F49" s="3">
        <v>12920</v>
      </c>
      <c r="G49" t="s">
        <v>31</v>
      </c>
      <c r="H49" t="s">
        <v>34</v>
      </c>
    </row>
    <row r="50" spans="1:8" x14ac:dyDescent="0.25">
      <c r="A50" s="1">
        <v>45305</v>
      </c>
      <c r="B50" t="s">
        <v>29</v>
      </c>
      <c r="C50" t="s">
        <v>35</v>
      </c>
      <c r="D50" t="s">
        <v>36</v>
      </c>
      <c r="E50">
        <v>16</v>
      </c>
      <c r="F50" s="3">
        <v>18656</v>
      </c>
      <c r="G50" t="s">
        <v>27</v>
      </c>
      <c r="H50" t="s">
        <v>12</v>
      </c>
    </row>
    <row r="51" spans="1:8" x14ac:dyDescent="0.25">
      <c r="A51" s="1">
        <v>45321</v>
      </c>
      <c r="B51" t="s">
        <v>29</v>
      </c>
      <c r="C51" t="s">
        <v>37</v>
      </c>
      <c r="D51" t="s">
        <v>15</v>
      </c>
      <c r="E51">
        <v>8</v>
      </c>
      <c r="F51" s="3">
        <v>6048</v>
      </c>
      <c r="G51" t="s">
        <v>27</v>
      </c>
      <c r="H51" t="s">
        <v>28</v>
      </c>
    </row>
    <row r="52" spans="1:8" x14ac:dyDescent="0.25">
      <c r="A52" s="1">
        <v>45555</v>
      </c>
      <c r="B52" t="s">
        <v>24</v>
      </c>
      <c r="C52" t="s">
        <v>41</v>
      </c>
      <c r="D52" t="s">
        <v>26</v>
      </c>
      <c r="E52">
        <v>19</v>
      </c>
      <c r="F52" s="3">
        <v>20957</v>
      </c>
      <c r="G52" t="s">
        <v>11</v>
      </c>
      <c r="H52" t="s">
        <v>19</v>
      </c>
    </row>
    <row r="53" spans="1:8" x14ac:dyDescent="0.25">
      <c r="A53" s="1">
        <v>45863</v>
      </c>
      <c r="B53" t="s">
        <v>20</v>
      </c>
      <c r="C53" t="s">
        <v>14</v>
      </c>
      <c r="D53" t="s">
        <v>15</v>
      </c>
      <c r="E53">
        <v>20</v>
      </c>
      <c r="F53" s="3">
        <v>33760</v>
      </c>
      <c r="G53" t="s">
        <v>27</v>
      </c>
      <c r="H53" t="s">
        <v>32</v>
      </c>
    </row>
    <row r="54" spans="1:8" x14ac:dyDescent="0.25">
      <c r="A54" s="1">
        <v>45377</v>
      </c>
      <c r="B54" t="s">
        <v>48</v>
      </c>
      <c r="C54" t="s">
        <v>44</v>
      </c>
      <c r="D54" t="s">
        <v>45</v>
      </c>
      <c r="E54">
        <v>7</v>
      </c>
      <c r="F54" s="3">
        <v>10388</v>
      </c>
      <c r="G54" t="s">
        <v>31</v>
      </c>
      <c r="H54" t="s">
        <v>34</v>
      </c>
    </row>
    <row r="55" spans="1:8" x14ac:dyDescent="0.25">
      <c r="A55" s="1">
        <v>45765</v>
      </c>
      <c r="B55" t="s">
        <v>40</v>
      </c>
      <c r="C55" t="s">
        <v>21</v>
      </c>
      <c r="D55" t="s">
        <v>22</v>
      </c>
      <c r="E55">
        <v>19</v>
      </c>
      <c r="F55" s="3">
        <v>25213</v>
      </c>
      <c r="G55" t="s">
        <v>27</v>
      </c>
      <c r="H55" t="s">
        <v>12</v>
      </c>
    </row>
    <row r="56" spans="1:8" x14ac:dyDescent="0.25">
      <c r="A56" s="1">
        <v>45431</v>
      </c>
      <c r="B56" t="s">
        <v>13</v>
      </c>
      <c r="C56" t="s">
        <v>38</v>
      </c>
      <c r="D56" t="s">
        <v>22</v>
      </c>
      <c r="E56">
        <v>2</v>
      </c>
      <c r="F56" s="3">
        <v>990</v>
      </c>
      <c r="G56" t="s">
        <v>39</v>
      </c>
      <c r="H56" t="s">
        <v>19</v>
      </c>
    </row>
    <row r="57" spans="1:8" x14ac:dyDescent="0.25">
      <c r="A57" s="1">
        <v>45593</v>
      </c>
      <c r="B57" t="s">
        <v>33</v>
      </c>
      <c r="C57" t="s">
        <v>41</v>
      </c>
      <c r="D57" t="s">
        <v>26</v>
      </c>
      <c r="E57">
        <v>12</v>
      </c>
      <c r="F57" s="3">
        <v>5784</v>
      </c>
      <c r="G57" t="s">
        <v>39</v>
      </c>
      <c r="H57" t="s">
        <v>28</v>
      </c>
    </row>
    <row r="58" spans="1:8" x14ac:dyDescent="0.25">
      <c r="A58" s="1">
        <v>45259</v>
      </c>
      <c r="B58" t="s">
        <v>8</v>
      </c>
      <c r="C58" t="s">
        <v>44</v>
      </c>
      <c r="D58" t="s">
        <v>45</v>
      </c>
      <c r="E58">
        <v>14</v>
      </c>
      <c r="F58" s="3">
        <v>17276</v>
      </c>
      <c r="G58" t="s">
        <v>27</v>
      </c>
      <c r="H58" t="s">
        <v>28</v>
      </c>
    </row>
    <row r="59" spans="1:8" x14ac:dyDescent="0.25">
      <c r="A59" s="1">
        <v>45733</v>
      </c>
      <c r="B59" t="s">
        <v>48</v>
      </c>
      <c r="C59" t="s">
        <v>25</v>
      </c>
      <c r="D59" t="s">
        <v>26</v>
      </c>
      <c r="E59">
        <v>17</v>
      </c>
      <c r="F59" s="3">
        <v>15062</v>
      </c>
      <c r="G59" t="s">
        <v>16</v>
      </c>
      <c r="H59" t="s">
        <v>12</v>
      </c>
    </row>
    <row r="60" spans="1:8" x14ac:dyDescent="0.25">
      <c r="A60" s="1">
        <v>44993</v>
      </c>
      <c r="B60" t="s">
        <v>48</v>
      </c>
      <c r="C60" t="s">
        <v>35</v>
      </c>
      <c r="D60" t="s">
        <v>36</v>
      </c>
      <c r="E60">
        <v>16</v>
      </c>
      <c r="F60" s="3">
        <v>11200</v>
      </c>
      <c r="G60" t="s">
        <v>16</v>
      </c>
      <c r="H60" t="s">
        <v>12</v>
      </c>
    </row>
    <row r="61" spans="1:8" x14ac:dyDescent="0.25">
      <c r="A61" s="1">
        <v>45622</v>
      </c>
      <c r="B61" t="s">
        <v>8</v>
      </c>
      <c r="C61" t="s">
        <v>41</v>
      </c>
      <c r="D61" t="s">
        <v>26</v>
      </c>
      <c r="E61">
        <v>19</v>
      </c>
      <c r="F61" s="3">
        <v>19969</v>
      </c>
      <c r="G61" t="s">
        <v>16</v>
      </c>
      <c r="H61" t="s">
        <v>19</v>
      </c>
    </row>
    <row r="62" spans="1:8" x14ac:dyDescent="0.25">
      <c r="A62" s="1">
        <v>45314</v>
      </c>
      <c r="B62" t="s">
        <v>29</v>
      </c>
      <c r="C62" t="s">
        <v>30</v>
      </c>
      <c r="D62" t="s">
        <v>15</v>
      </c>
      <c r="E62">
        <v>20</v>
      </c>
      <c r="F62" s="3">
        <v>12040</v>
      </c>
      <c r="G62" t="s">
        <v>31</v>
      </c>
      <c r="H62" t="s">
        <v>19</v>
      </c>
    </row>
    <row r="63" spans="1:8" x14ac:dyDescent="0.25">
      <c r="A63" s="1">
        <v>45523</v>
      </c>
      <c r="B63" t="s">
        <v>46</v>
      </c>
      <c r="C63" t="s">
        <v>37</v>
      </c>
      <c r="D63" t="s">
        <v>15</v>
      </c>
      <c r="E63">
        <v>11</v>
      </c>
      <c r="F63" s="3">
        <v>5280</v>
      </c>
      <c r="G63" t="s">
        <v>16</v>
      </c>
      <c r="H63" t="s">
        <v>43</v>
      </c>
    </row>
    <row r="64" spans="1:8" x14ac:dyDescent="0.25">
      <c r="A64" s="1">
        <v>45096</v>
      </c>
      <c r="B64" t="s">
        <v>18</v>
      </c>
      <c r="C64" t="s">
        <v>44</v>
      </c>
      <c r="D64" t="s">
        <v>45</v>
      </c>
      <c r="E64">
        <v>16</v>
      </c>
      <c r="F64" s="3">
        <v>30512</v>
      </c>
      <c r="G64" t="s">
        <v>27</v>
      </c>
      <c r="H64" t="s">
        <v>32</v>
      </c>
    </row>
    <row r="65" spans="1:8" x14ac:dyDescent="0.25">
      <c r="A65" s="1">
        <v>44946</v>
      </c>
      <c r="B65" t="s">
        <v>29</v>
      </c>
      <c r="C65" t="s">
        <v>21</v>
      </c>
      <c r="D65" t="s">
        <v>22</v>
      </c>
      <c r="E65">
        <v>2</v>
      </c>
      <c r="F65" s="3">
        <v>3154</v>
      </c>
      <c r="G65" t="s">
        <v>39</v>
      </c>
      <c r="H65" t="s">
        <v>23</v>
      </c>
    </row>
    <row r="66" spans="1:8" x14ac:dyDescent="0.25">
      <c r="A66" s="1">
        <v>45331</v>
      </c>
      <c r="B66" t="s">
        <v>47</v>
      </c>
      <c r="C66" t="s">
        <v>37</v>
      </c>
      <c r="D66" t="s">
        <v>15</v>
      </c>
      <c r="E66">
        <v>4</v>
      </c>
      <c r="F66" s="3">
        <v>3756</v>
      </c>
      <c r="G66" t="s">
        <v>39</v>
      </c>
      <c r="H66" t="s">
        <v>32</v>
      </c>
    </row>
    <row r="67" spans="1:8" x14ac:dyDescent="0.25">
      <c r="A67" s="1">
        <v>45560</v>
      </c>
      <c r="B67" t="s">
        <v>24</v>
      </c>
      <c r="C67" t="s">
        <v>44</v>
      </c>
      <c r="D67" t="s">
        <v>45</v>
      </c>
      <c r="E67">
        <v>14</v>
      </c>
      <c r="F67" s="3">
        <v>8988</v>
      </c>
      <c r="G67" t="s">
        <v>11</v>
      </c>
      <c r="H67" t="s">
        <v>32</v>
      </c>
    </row>
    <row r="68" spans="1:8" x14ac:dyDescent="0.25">
      <c r="A68" s="1">
        <v>45234</v>
      </c>
      <c r="B68" t="s">
        <v>8</v>
      </c>
      <c r="C68" t="s">
        <v>30</v>
      </c>
      <c r="D68" t="s">
        <v>15</v>
      </c>
      <c r="E68">
        <v>9</v>
      </c>
      <c r="F68" s="3">
        <v>3366</v>
      </c>
      <c r="G68" t="s">
        <v>27</v>
      </c>
      <c r="H68" t="s">
        <v>34</v>
      </c>
    </row>
    <row r="69" spans="1:8" x14ac:dyDescent="0.25">
      <c r="A69" s="1">
        <v>45803</v>
      </c>
      <c r="B69" t="s">
        <v>13</v>
      </c>
      <c r="C69" t="s">
        <v>35</v>
      </c>
      <c r="D69" t="s">
        <v>36</v>
      </c>
      <c r="E69">
        <v>13</v>
      </c>
      <c r="F69" s="3">
        <v>17238</v>
      </c>
      <c r="G69" t="s">
        <v>39</v>
      </c>
      <c r="H69" t="s">
        <v>19</v>
      </c>
    </row>
    <row r="70" spans="1:8" x14ac:dyDescent="0.25">
      <c r="A70" s="1">
        <v>46008</v>
      </c>
      <c r="B70" t="s">
        <v>42</v>
      </c>
      <c r="C70" t="s">
        <v>21</v>
      </c>
      <c r="D70" t="s">
        <v>22</v>
      </c>
      <c r="E70">
        <v>16</v>
      </c>
      <c r="F70" s="3">
        <v>6144</v>
      </c>
      <c r="G70" t="s">
        <v>39</v>
      </c>
      <c r="H70" t="s">
        <v>32</v>
      </c>
    </row>
    <row r="71" spans="1:8" x14ac:dyDescent="0.25">
      <c r="A71" s="1">
        <v>45499</v>
      </c>
      <c r="B71" t="s">
        <v>20</v>
      </c>
      <c r="C71" t="s">
        <v>25</v>
      </c>
      <c r="D71" t="s">
        <v>26</v>
      </c>
      <c r="E71">
        <v>6</v>
      </c>
      <c r="F71" s="3">
        <v>2796</v>
      </c>
      <c r="G71" t="s">
        <v>39</v>
      </c>
      <c r="H71" t="s">
        <v>19</v>
      </c>
    </row>
    <row r="72" spans="1:8" x14ac:dyDescent="0.25">
      <c r="A72" s="1">
        <v>45303</v>
      </c>
      <c r="B72" t="s">
        <v>29</v>
      </c>
      <c r="C72" t="s">
        <v>44</v>
      </c>
      <c r="D72" t="s">
        <v>45</v>
      </c>
      <c r="E72">
        <v>19</v>
      </c>
      <c r="F72" s="3">
        <v>14174</v>
      </c>
      <c r="G72" t="s">
        <v>16</v>
      </c>
      <c r="H72" t="s">
        <v>23</v>
      </c>
    </row>
    <row r="73" spans="1:8" x14ac:dyDescent="0.25">
      <c r="A73" s="1">
        <v>45623</v>
      </c>
      <c r="B73" t="s">
        <v>8</v>
      </c>
      <c r="C73" t="s">
        <v>38</v>
      </c>
      <c r="D73" t="s">
        <v>22</v>
      </c>
      <c r="E73">
        <v>11</v>
      </c>
      <c r="F73" s="3">
        <v>15026</v>
      </c>
      <c r="G73" t="s">
        <v>27</v>
      </c>
      <c r="H73" t="s">
        <v>34</v>
      </c>
    </row>
    <row r="74" spans="1:8" x14ac:dyDescent="0.25">
      <c r="A74" s="1">
        <v>45281</v>
      </c>
      <c r="B74" t="s">
        <v>42</v>
      </c>
      <c r="C74" t="s">
        <v>30</v>
      </c>
      <c r="D74" t="s">
        <v>15</v>
      </c>
      <c r="E74">
        <v>8</v>
      </c>
      <c r="F74" s="3">
        <v>880</v>
      </c>
      <c r="G74" t="s">
        <v>31</v>
      </c>
      <c r="H74" t="s">
        <v>17</v>
      </c>
    </row>
    <row r="75" spans="1:8" x14ac:dyDescent="0.25">
      <c r="A75" s="1">
        <v>45484</v>
      </c>
      <c r="B75" t="s">
        <v>20</v>
      </c>
      <c r="C75" t="s">
        <v>14</v>
      </c>
      <c r="D75" t="s">
        <v>15</v>
      </c>
      <c r="E75">
        <v>16</v>
      </c>
      <c r="F75" s="3">
        <v>1728</v>
      </c>
      <c r="G75" t="s">
        <v>31</v>
      </c>
      <c r="H75" t="s">
        <v>28</v>
      </c>
    </row>
    <row r="76" spans="1:8" x14ac:dyDescent="0.25">
      <c r="A76" s="1">
        <v>45834</v>
      </c>
      <c r="B76" t="s">
        <v>18</v>
      </c>
      <c r="C76" t="s">
        <v>14</v>
      </c>
      <c r="D76" t="s">
        <v>15</v>
      </c>
      <c r="E76">
        <v>18</v>
      </c>
      <c r="F76" s="3">
        <v>23328</v>
      </c>
      <c r="G76" t="s">
        <v>27</v>
      </c>
      <c r="H76" t="s">
        <v>19</v>
      </c>
    </row>
    <row r="77" spans="1:8" x14ac:dyDescent="0.25">
      <c r="A77" s="1">
        <v>45545</v>
      </c>
      <c r="B77" t="s">
        <v>24</v>
      </c>
      <c r="C77" t="s">
        <v>35</v>
      </c>
      <c r="D77" t="s">
        <v>36</v>
      </c>
      <c r="E77">
        <v>6</v>
      </c>
      <c r="F77" s="3">
        <v>11940</v>
      </c>
      <c r="G77" t="s">
        <v>27</v>
      </c>
      <c r="H77" t="s">
        <v>34</v>
      </c>
    </row>
    <row r="78" spans="1:8" x14ac:dyDescent="0.25">
      <c r="A78" s="1">
        <v>45252</v>
      </c>
      <c r="B78" t="s">
        <v>8</v>
      </c>
      <c r="C78" t="s">
        <v>44</v>
      </c>
      <c r="D78" t="s">
        <v>45</v>
      </c>
      <c r="E78">
        <v>9</v>
      </c>
      <c r="F78" s="3">
        <v>8820</v>
      </c>
      <c r="G78" t="s">
        <v>31</v>
      </c>
      <c r="H78" t="s">
        <v>43</v>
      </c>
    </row>
    <row r="79" spans="1:8" x14ac:dyDescent="0.25">
      <c r="A79" s="1">
        <v>46005</v>
      </c>
      <c r="B79" t="s">
        <v>42</v>
      </c>
      <c r="C79" t="s">
        <v>9</v>
      </c>
      <c r="D79" t="s">
        <v>10</v>
      </c>
      <c r="E79">
        <v>5</v>
      </c>
      <c r="F79" s="3">
        <v>9660</v>
      </c>
      <c r="G79" t="s">
        <v>11</v>
      </c>
      <c r="H79" t="s">
        <v>28</v>
      </c>
    </row>
    <row r="80" spans="1:8" x14ac:dyDescent="0.25">
      <c r="A80" s="1">
        <v>45990</v>
      </c>
      <c r="B80" t="s">
        <v>8</v>
      </c>
      <c r="C80" t="s">
        <v>41</v>
      </c>
      <c r="D80" t="s">
        <v>26</v>
      </c>
      <c r="E80">
        <v>4</v>
      </c>
      <c r="F80" s="3">
        <v>6588</v>
      </c>
      <c r="G80" t="s">
        <v>11</v>
      </c>
      <c r="H80" t="s">
        <v>23</v>
      </c>
    </row>
    <row r="81" spans="1:8" x14ac:dyDescent="0.25">
      <c r="A81" s="1">
        <v>45785</v>
      </c>
      <c r="B81" t="s">
        <v>13</v>
      </c>
      <c r="C81" t="s">
        <v>37</v>
      </c>
      <c r="D81" t="s">
        <v>15</v>
      </c>
      <c r="E81">
        <v>8</v>
      </c>
      <c r="F81" s="3">
        <v>6640</v>
      </c>
      <c r="G81" t="s">
        <v>39</v>
      </c>
      <c r="H81" t="s">
        <v>43</v>
      </c>
    </row>
    <row r="82" spans="1:8" x14ac:dyDescent="0.25">
      <c r="A82" s="1">
        <v>45746</v>
      </c>
      <c r="B82" t="s">
        <v>48</v>
      </c>
      <c r="C82" t="s">
        <v>21</v>
      </c>
      <c r="D82" t="s">
        <v>22</v>
      </c>
      <c r="E82">
        <v>8</v>
      </c>
      <c r="F82" s="3">
        <v>10712</v>
      </c>
      <c r="G82" t="s">
        <v>27</v>
      </c>
      <c r="H82" t="s">
        <v>19</v>
      </c>
    </row>
    <row r="83" spans="1:8" x14ac:dyDescent="0.25">
      <c r="A83" s="1">
        <v>45112</v>
      </c>
      <c r="B83" t="s">
        <v>20</v>
      </c>
      <c r="C83" t="s">
        <v>38</v>
      </c>
      <c r="D83" t="s">
        <v>22</v>
      </c>
      <c r="E83">
        <v>4</v>
      </c>
      <c r="F83" s="3">
        <v>7288</v>
      </c>
      <c r="G83" t="s">
        <v>16</v>
      </c>
      <c r="H83" t="s">
        <v>32</v>
      </c>
    </row>
    <row r="84" spans="1:8" x14ac:dyDescent="0.25">
      <c r="A84" s="1">
        <v>45527</v>
      </c>
      <c r="B84" t="s">
        <v>46</v>
      </c>
      <c r="C84" t="s">
        <v>25</v>
      </c>
      <c r="D84" t="s">
        <v>26</v>
      </c>
      <c r="E84">
        <v>8</v>
      </c>
      <c r="F84" s="3">
        <v>15888</v>
      </c>
      <c r="G84" t="s">
        <v>31</v>
      </c>
      <c r="H84" t="s">
        <v>32</v>
      </c>
    </row>
    <row r="85" spans="1:8" x14ac:dyDescent="0.25">
      <c r="A85" s="1">
        <v>45278</v>
      </c>
      <c r="B85" t="s">
        <v>42</v>
      </c>
      <c r="C85" t="s">
        <v>14</v>
      </c>
      <c r="D85" t="s">
        <v>15</v>
      </c>
      <c r="E85">
        <v>7</v>
      </c>
      <c r="F85" s="3">
        <v>3325</v>
      </c>
      <c r="G85" t="s">
        <v>16</v>
      </c>
      <c r="H85" t="s">
        <v>19</v>
      </c>
    </row>
    <row r="86" spans="1:8" x14ac:dyDescent="0.25">
      <c r="A86" s="1">
        <v>45104</v>
      </c>
      <c r="B86" t="s">
        <v>18</v>
      </c>
      <c r="C86" t="s">
        <v>21</v>
      </c>
      <c r="D86" t="s">
        <v>22</v>
      </c>
      <c r="E86">
        <v>5</v>
      </c>
      <c r="F86" s="3">
        <v>2470</v>
      </c>
      <c r="G86" t="s">
        <v>39</v>
      </c>
      <c r="H86" t="s">
        <v>43</v>
      </c>
    </row>
    <row r="87" spans="1:8" x14ac:dyDescent="0.25">
      <c r="A87" s="1">
        <v>45351</v>
      </c>
      <c r="B87" t="s">
        <v>47</v>
      </c>
      <c r="C87" t="s">
        <v>14</v>
      </c>
      <c r="D87" t="s">
        <v>15</v>
      </c>
      <c r="E87">
        <v>2</v>
      </c>
      <c r="F87" s="3">
        <v>1712</v>
      </c>
      <c r="G87" t="s">
        <v>31</v>
      </c>
      <c r="H87" t="s">
        <v>12</v>
      </c>
    </row>
    <row r="88" spans="1:8" x14ac:dyDescent="0.25">
      <c r="A88" s="1">
        <v>45577</v>
      </c>
      <c r="B88" t="s">
        <v>33</v>
      </c>
      <c r="C88" t="s">
        <v>37</v>
      </c>
      <c r="D88" t="s">
        <v>15</v>
      </c>
      <c r="E88">
        <v>9</v>
      </c>
      <c r="F88" s="3">
        <v>1575</v>
      </c>
      <c r="G88" t="s">
        <v>39</v>
      </c>
      <c r="H88" t="s">
        <v>23</v>
      </c>
    </row>
    <row r="89" spans="1:8" x14ac:dyDescent="0.25">
      <c r="A89" s="1">
        <v>45576</v>
      </c>
      <c r="B89" t="s">
        <v>33</v>
      </c>
      <c r="C89" t="s">
        <v>37</v>
      </c>
      <c r="D89" t="s">
        <v>15</v>
      </c>
      <c r="E89">
        <v>5</v>
      </c>
      <c r="F89" s="3">
        <v>4675</v>
      </c>
      <c r="G89" t="s">
        <v>39</v>
      </c>
      <c r="H89" t="s">
        <v>19</v>
      </c>
    </row>
    <row r="90" spans="1:8" x14ac:dyDescent="0.25">
      <c r="A90" s="1">
        <v>45681</v>
      </c>
      <c r="B90" t="s">
        <v>29</v>
      </c>
      <c r="C90" t="s">
        <v>37</v>
      </c>
      <c r="D90" t="s">
        <v>15</v>
      </c>
      <c r="E90">
        <v>19</v>
      </c>
      <c r="F90" s="3">
        <v>12407</v>
      </c>
      <c r="G90" t="s">
        <v>16</v>
      </c>
      <c r="H90" t="s">
        <v>12</v>
      </c>
    </row>
    <row r="91" spans="1:8" x14ac:dyDescent="0.25">
      <c r="A91" s="1">
        <v>45213</v>
      </c>
      <c r="B91" t="s">
        <v>33</v>
      </c>
      <c r="C91" t="s">
        <v>44</v>
      </c>
      <c r="D91" t="s">
        <v>45</v>
      </c>
      <c r="E91">
        <v>2</v>
      </c>
      <c r="F91" s="3">
        <v>1744</v>
      </c>
      <c r="G91" t="s">
        <v>31</v>
      </c>
      <c r="H91" t="s">
        <v>19</v>
      </c>
    </row>
    <row r="92" spans="1:8" x14ac:dyDescent="0.25">
      <c r="A92" s="1">
        <v>45434</v>
      </c>
      <c r="B92" t="s">
        <v>13</v>
      </c>
      <c r="C92" t="s">
        <v>9</v>
      </c>
      <c r="D92" t="s">
        <v>10</v>
      </c>
      <c r="E92">
        <v>16</v>
      </c>
      <c r="F92" s="3">
        <v>18512</v>
      </c>
      <c r="G92" t="s">
        <v>16</v>
      </c>
      <c r="H92" t="s">
        <v>43</v>
      </c>
    </row>
    <row r="93" spans="1:8" x14ac:dyDescent="0.25">
      <c r="A93" s="1">
        <v>45603</v>
      </c>
      <c r="B93" t="s">
        <v>8</v>
      </c>
      <c r="C93" t="s">
        <v>37</v>
      </c>
      <c r="D93" t="s">
        <v>15</v>
      </c>
      <c r="E93">
        <v>17</v>
      </c>
      <c r="F93" s="3">
        <v>16490</v>
      </c>
      <c r="G93" t="s">
        <v>11</v>
      </c>
      <c r="H93" t="s">
        <v>19</v>
      </c>
    </row>
    <row r="94" spans="1:8" x14ac:dyDescent="0.25">
      <c r="A94" s="1">
        <v>45675</v>
      </c>
      <c r="B94" t="s">
        <v>29</v>
      </c>
      <c r="C94" t="s">
        <v>14</v>
      </c>
      <c r="D94" t="s">
        <v>15</v>
      </c>
      <c r="E94">
        <v>9</v>
      </c>
      <c r="F94" s="3">
        <v>15705</v>
      </c>
      <c r="G94" t="s">
        <v>31</v>
      </c>
      <c r="H94" t="s">
        <v>34</v>
      </c>
    </row>
    <row r="95" spans="1:8" x14ac:dyDescent="0.25">
      <c r="A95" s="1">
        <v>44952</v>
      </c>
      <c r="B95" t="s">
        <v>29</v>
      </c>
      <c r="C95" t="s">
        <v>14</v>
      </c>
      <c r="D95" t="s">
        <v>15</v>
      </c>
      <c r="E95">
        <v>5</v>
      </c>
      <c r="F95" s="3">
        <v>6050</v>
      </c>
      <c r="G95" t="s">
        <v>27</v>
      </c>
      <c r="H95" t="s">
        <v>17</v>
      </c>
    </row>
    <row r="96" spans="1:8" x14ac:dyDescent="0.25">
      <c r="A96" s="1">
        <v>45664</v>
      </c>
      <c r="B96" t="s">
        <v>29</v>
      </c>
      <c r="C96" t="s">
        <v>9</v>
      </c>
      <c r="D96" t="s">
        <v>10</v>
      </c>
      <c r="E96">
        <v>17</v>
      </c>
      <c r="F96" s="3">
        <v>17595</v>
      </c>
      <c r="G96" t="s">
        <v>31</v>
      </c>
      <c r="H96" t="s">
        <v>28</v>
      </c>
    </row>
    <row r="97" spans="1:8" x14ac:dyDescent="0.25">
      <c r="A97" s="1">
        <v>45446</v>
      </c>
      <c r="B97" t="s">
        <v>18</v>
      </c>
      <c r="C97" t="s">
        <v>21</v>
      </c>
      <c r="D97" t="s">
        <v>22</v>
      </c>
      <c r="E97">
        <v>9</v>
      </c>
      <c r="F97" s="3">
        <v>16857</v>
      </c>
      <c r="G97" t="s">
        <v>11</v>
      </c>
      <c r="H97" t="s">
        <v>32</v>
      </c>
    </row>
    <row r="98" spans="1:8" x14ac:dyDescent="0.25">
      <c r="A98" s="1">
        <v>45440</v>
      </c>
      <c r="B98" t="s">
        <v>13</v>
      </c>
      <c r="C98" t="s">
        <v>25</v>
      </c>
      <c r="D98" t="s">
        <v>26</v>
      </c>
      <c r="E98">
        <v>20</v>
      </c>
      <c r="F98" s="3">
        <v>6780</v>
      </c>
      <c r="G98" t="s">
        <v>11</v>
      </c>
      <c r="H98" t="s">
        <v>12</v>
      </c>
    </row>
    <row r="99" spans="1:8" x14ac:dyDescent="0.25">
      <c r="A99" s="1">
        <v>45835</v>
      </c>
      <c r="B99" t="s">
        <v>18</v>
      </c>
      <c r="C99" t="s">
        <v>37</v>
      </c>
      <c r="D99" t="s">
        <v>15</v>
      </c>
      <c r="E99">
        <v>1</v>
      </c>
      <c r="F99" s="3">
        <v>1484</v>
      </c>
      <c r="G99" t="s">
        <v>39</v>
      </c>
      <c r="H99" t="s">
        <v>12</v>
      </c>
    </row>
    <row r="100" spans="1:8" x14ac:dyDescent="0.25">
      <c r="A100" s="1">
        <v>45335</v>
      </c>
      <c r="B100" t="s">
        <v>47</v>
      </c>
      <c r="C100" t="s">
        <v>41</v>
      </c>
      <c r="D100" t="s">
        <v>26</v>
      </c>
      <c r="E100">
        <v>18</v>
      </c>
      <c r="F100" s="3">
        <v>16344</v>
      </c>
      <c r="G100" t="s">
        <v>31</v>
      </c>
      <c r="H100" t="s">
        <v>17</v>
      </c>
    </row>
    <row r="101" spans="1:8" x14ac:dyDescent="0.25">
      <c r="A101" s="1">
        <v>45393</v>
      </c>
      <c r="B101" t="s">
        <v>40</v>
      </c>
      <c r="C101" t="s">
        <v>35</v>
      </c>
      <c r="D101" t="s">
        <v>36</v>
      </c>
      <c r="E101">
        <v>5</v>
      </c>
      <c r="F101" s="3">
        <v>2160</v>
      </c>
      <c r="G101" t="s">
        <v>16</v>
      </c>
      <c r="H101" t="s">
        <v>34</v>
      </c>
    </row>
    <row r="102" spans="1:8" x14ac:dyDescent="0.25">
      <c r="A102" s="1">
        <v>45706</v>
      </c>
      <c r="B102" t="s">
        <v>47</v>
      </c>
      <c r="C102" t="s">
        <v>41</v>
      </c>
      <c r="D102" t="s">
        <v>26</v>
      </c>
      <c r="E102">
        <v>3</v>
      </c>
      <c r="F102" s="3">
        <v>4347</v>
      </c>
      <c r="G102" t="s">
        <v>39</v>
      </c>
      <c r="H102" t="s">
        <v>34</v>
      </c>
    </row>
    <row r="103" spans="1:8" x14ac:dyDescent="0.25">
      <c r="A103" s="1">
        <v>45386</v>
      </c>
      <c r="B103" t="s">
        <v>40</v>
      </c>
      <c r="C103" t="s">
        <v>30</v>
      </c>
      <c r="D103" t="s">
        <v>15</v>
      </c>
      <c r="E103">
        <v>20</v>
      </c>
      <c r="F103" s="3">
        <v>26840</v>
      </c>
      <c r="G103" t="s">
        <v>31</v>
      </c>
      <c r="H103" t="s">
        <v>19</v>
      </c>
    </row>
    <row r="104" spans="1:8" x14ac:dyDescent="0.25">
      <c r="A104" s="1">
        <v>45489</v>
      </c>
      <c r="B104" t="s">
        <v>20</v>
      </c>
      <c r="C104" t="s">
        <v>25</v>
      </c>
      <c r="D104" t="s">
        <v>26</v>
      </c>
      <c r="E104">
        <v>6</v>
      </c>
      <c r="F104" s="3">
        <v>1062</v>
      </c>
      <c r="G104" t="s">
        <v>16</v>
      </c>
      <c r="H104" t="s">
        <v>28</v>
      </c>
    </row>
    <row r="105" spans="1:8" x14ac:dyDescent="0.25">
      <c r="A105" s="1">
        <v>45072</v>
      </c>
      <c r="B105" t="s">
        <v>13</v>
      </c>
      <c r="C105" t="s">
        <v>44</v>
      </c>
      <c r="D105" t="s">
        <v>45</v>
      </c>
      <c r="E105">
        <v>2</v>
      </c>
      <c r="F105" s="3">
        <v>3164</v>
      </c>
      <c r="G105" t="s">
        <v>39</v>
      </c>
      <c r="H105" t="s">
        <v>28</v>
      </c>
    </row>
    <row r="106" spans="1:8" x14ac:dyDescent="0.25">
      <c r="A106" s="1">
        <v>45693</v>
      </c>
      <c r="B106" t="s">
        <v>47</v>
      </c>
      <c r="C106" t="s">
        <v>25</v>
      </c>
      <c r="D106" t="s">
        <v>26</v>
      </c>
      <c r="E106">
        <v>20</v>
      </c>
      <c r="F106" s="3">
        <v>3540</v>
      </c>
      <c r="G106" t="s">
        <v>16</v>
      </c>
      <c r="H106" t="s">
        <v>17</v>
      </c>
    </row>
    <row r="107" spans="1:8" x14ac:dyDescent="0.25">
      <c r="A107" s="1">
        <v>44995</v>
      </c>
      <c r="B107" t="s">
        <v>48</v>
      </c>
      <c r="C107" t="s">
        <v>25</v>
      </c>
      <c r="D107" t="s">
        <v>26</v>
      </c>
      <c r="E107">
        <v>6</v>
      </c>
      <c r="F107" s="3">
        <v>5862</v>
      </c>
      <c r="G107" t="s">
        <v>27</v>
      </c>
      <c r="H107" t="s">
        <v>19</v>
      </c>
    </row>
    <row r="108" spans="1:8" x14ac:dyDescent="0.25">
      <c r="A108" s="1">
        <v>46002</v>
      </c>
      <c r="B108" t="s">
        <v>42</v>
      </c>
      <c r="C108" t="s">
        <v>21</v>
      </c>
      <c r="D108" t="s">
        <v>22</v>
      </c>
      <c r="E108">
        <v>1</v>
      </c>
      <c r="F108" s="3">
        <v>693</v>
      </c>
      <c r="G108" t="s">
        <v>27</v>
      </c>
      <c r="H108" t="s">
        <v>17</v>
      </c>
    </row>
    <row r="109" spans="1:8" x14ac:dyDescent="0.25">
      <c r="A109" s="1">
        <v>45825</v>
      </c>
      <c r="B109" t="s">
        <v>18</v>
      </c>
      <c r="C109" t="s">
        <v>9</v>
      </c>
      <c r="D109" t="s">
        <v>10</v>
      </c>
      <c r="E109">
        <v>6</v>
      </c>
      <c r="F109" s="3">
        <v>7254</v>
      </c>
      <c r="G109" t="s">
        <v>16</v>
      </c>
      <c r="H109" t="s">
        <v>28</v>
      </c>
    </row>
    <row r="110" spans="1:8" x14ac:dyDescent="0.25">
      <c r="A110" s="1">
        <v>45483</v>
      </c>
      <c r="B110" t="s">
        <v>20</v>
      </c>
      <c r="C110" t="s">
        <v>38</v>
      </c>
      <c r="D110" t="s">
        <v>22</v>
      </c>
      <c r="E110">
        <v>4</v>
      </c>
      <c r="F110" s="3">
        <v>1708</v>
      </c>
      <c r="G110" t="s">
        <v>39</v>
      </c>
      <c r="H110" t="s">
        <v>23</v>
      </c>
    </row>
    <row r="111" spans="1:8" x14ac:dyDescent="0.25">
      <c r="A111" s="1">
        <v>45955</v>
      </c>
      <c r="B111" t="s">
        <v>33</v>
      </c>
      <c r="C111" t="s">
        <v>37</v>
      </c>
      <c r="D111" t="s">
        <v>15</v>
      </c>
      <c r="E111">
        <v>15</v>
      </c>
      <c r="F111" s="3">
        <v>1425</v>
      </c>
      <c r="G111" t="s">
        <v>16</v>
      </c>
      <c r="H111" t="s">
        <v>28</v>
      </c>
    </row>
    <row r="112" spans="1:8" x14ac:dyDescent="0.25">
      <c r="A112" s="1">
        <v>45968</v>
      </c>
      <c r="B112" t="s">
        <v>8</v>
      </c>
      <c r="C112" t="s">
        <v>38</v>
      </c>
      <c r="D112" t="s">
        <v>22</v>
      </c>
      <c r="E112">
        <v>15</v>
      </c>
      <c r="F112" s="3">
        <v>6960</v>
      </c>
      <c r="G112" t="s">
        <v>27</v>
      </c>
      <c r="H112" t="s">
        <v>12</v>
      </c>
    </row>
    <row r="113" spans="1:8" x14ac:dyDescent="0.25">
      <c r="A113" s="1">
        <v>45175</v>
      </c>
      <c r="B113" t="s">
        <v>24</v>
      </c>
      <c r="C113" t="s">
        <v>41</v>
      </c>
      <c r="D113" t="s">
        <v>26</v>
      </c>
      <c r="E113">
        <v>4</v>
      </c>
      <c r="F113" s="3">
        <v>2988</v>
      </c>
      <c r="G113" t="s">
        <v>27</v>
      </c>
      <c r="H113" t="s">
        <v>43</v>
      </c>
    </row>
    <row r="114" spans="1:8" x14ac:dyDescent="0.25">
      <c r="A114" s="1">
        <v>45359</v>
      </c>
      <c r="B114" t="s">
        <v>48</v>
      </c>
      <c r="C114" t="s">
        <v>37</v>
      </c>
      <c r="D114" t="s">
        <v>15</v>
      </c>
      <c r="E114">
        <v>6</v>
      </c>
      <c r="F114" s="3">
        <v>3678</v>
      </c>
      <c r="G114" t="s">
        <v>11</v>
      </c>
      <c r="H114" t="s">
        <v>32</v>
      </c>
    </row>
    <row r="115" spans="1:8" x14ac:dyDescent="0.25">
      <c r="A115" s="1">
        <v>45190</v>
      </c>
      <c r="B115" t="s">
        <v>24</v>
      </c>
      <c r="C115" t="s">
        <v>37</v>
      </c>
      <c r="D115" t="s">
        <v>15</v>
      </c>
      <c r="E115">
        <v>4</v>
      </c>
      <c r="F115" s="3">
        <v>4860</v>
      </c>
      <c r="G115" t="s">
        <v>27</v>
      </c>
      <c r="H115" t="s">
        <v>43</v>
      </c>
    </row>
    <row r="116" spans="1:8" x14ac:dyDescent="0.25">
      <c r="A116" s="1">
        <v>45668</v>
      </c>
      <c r="B116" t="s">
        <v>29</v>
      </c>
      <c r="C116" t="s">
        <v>37</v>
      </c>
      <c r="D116" t="s">
        <v>15</v>
      </c>
      <c r="E116">
        <v>1</v>
      </c>
      <c r="F116" s="3">
        <v>1541</v>
      </c>
      <c r="G116" t="s">
        <v>31</v>
      </c>
      <c r="H116" t="s">
        <v>17</v>
      </c>
    </row>
    <row r="117" spans="1:8" x14ac:dyDescent="0.25">
      <c r="A117" s="1">
        <v>45917</v>
      </c>
      <c r="B117" t="s">
        <v>24</v>
      </c>
      <c r="C117" t="s">
        <v>9</v>
      </c>
      <c r="D117" t="s">
        <v>10</v>
      </c>
      <c r="E117">
        <v>19</v>
      </c>
      <c r="F117" s="3">
        <v>34941</v>
      </c>
      <c r="G117" t="s">
        <v>11</v>
      </c>
      <c r="H117" t="s">
        <v>17</v>
      </c>
    </row>
    <row r="118" spans="1:8" x14ac:dyDescent="0.25">
      <c r="A118" s="1">
        <v>45926</v>
      </c>
      <c r="B118" t="s">
        <v>24</v>
      </c>
      <c r="C118" t="s">
        <v>35</v>
      </c>
      <c r="D118" t="s">
        <v>36</v>
      </c>
      <c r="E118">
        <v>18</v>
      </c>
      <c r="F118" s="3">
        <v>18684</v>
      </c>
      <c r="G118" t="s">
        <v>31</v>
      </c>
      <c r="H118" t="s">
        <v>19</v>
      </c>
    </row>
    <row r="119" spans="1:8" x14ac:dyDescent="0.25">
      <c r="A119" s="1">
        <v>45429</v>
      </c>
      <c r="B119" t="s">
        <v>13</v>
      </c>
      <c r="C119" t="s">
        <v>35</v>
      </c>
      <c r="D119" t="s">
        <v>36</v>
      </c>
      <c r="E119">
        <v>6</v>
      </c>
      <c r="F119" s="3">
        <v>10182</v>
      </c>
      <c r="G119" t="s">
        <v>31</v>
      </c>
      <c r="H119" t="s">
        <v>28</v>
      </c>
    </row>
    <row r="120" spans="1:8" x14ac:dyDescent="0.25">
      <c r="A120" s="1">
        <v>45565</v>
      </c>
      <c r="B120" t="s">
        <v>24</v>
      </c>
      <c r="C120" t="s">
        <v>30</v>
      </c>
      <c r="D120" t="s">
        <v>15</v>
      </c>
      <c r="E120">
        <v>5</v>
      </c>
      <c r="F120" s="3">
        <v>6875</v>
      </c>
      <c r="G120" t="s">
        <v>31</v>
      </c>
      <c r="H120" t="s">
        <v>34</v>
      </c>
    </row>
    <row r="121" spans="1:8" x14ac:dyDescent="0.25">
      <c r="A121" s="1">
        <v>45907</v>
      </c>
      <c r="B121" t="s">
        <v>24</v>
      </c>
      <c r="C121" t="s">
        <v>37</v>
      </c>
      <c r="D121" t="s">
        <v>15</v>
      </c>
      <c r="E121">
        <v>8</v>
      </c>
      <c r="F121" s="3">
        <v>3344</v>
      </c>
      <c r="G121" t="s">
        <v>11</v>
      </c>
      <c r="H121" t="s">
        <v>19</v>
      </c>
    </row>
    <row r="122" spans="1:8" x14ac:dyDescent="0.25">
      <c r="A122" s="1">
        <v>45477</v>
      </c>
      <c r="B122" t="s">
        <v>20</v>
      </c>
      <c r="C122" t="s">
        <v>30</v>
      </c>
      <c r="D122" t="s">
        <v>15</v>
      </c>
      <c r="E122">
        <v>8</v>
      </c>
      <c r="F122" s="3">
        <v>1552</v>
      </c>
      <c r="G122" t="s">
        <v>39</v>
      </c>
      <c r="H122" t="s">
        <v>12</v>
      </c>
    </row>
    <row r="123" spans="1:8" x14ac:dyDescent="0.25">
      <c r="A123" s="1">
        <v>45961</v>
      </c>
      <c r="B123" t="s">
        <v>33</v>
      </c>
      <c r="C123" t="s">
        <v>35</v>
      </c>
      <c r="D123" t="s">
        <v>36</v>
      </c>
      <c r="E123">
        <v>18</v>
      </c>
      <c r="F123" s="3">
        <v>18414</v>
      </c>
      <c r="G123" t="s">
        <v>16</v>
      </c>
      <c r="H123" t="s">
        <v>12</v>
      </c>
    </row>
    <row r="124" spans="1:8" x14ac:dyDescent="0.25">
      <c r="A124" s="1">
        <v>44971</v>
      </c>
      <c r="B124" t="s">
        <v>47</v>
      </c>
      <c r="C124" t="s">
        <v>14</v>
      </c>
      <c r="D124" t="s">
        <v>15</v>
      </c>
      <c r="E124">
        <v>2</v>
      </c>
      <c r="F124" s="3">
        <v>2464</v>
      </c>
      <c r="G124" t="s">
        <v>39</v>
      </c>
      <c r="H124" t="s">
        <v>32</v>
      </c>
    </row>
    <row r="125" spans="1:8" x14ac:dyDescent="0.25">
      <c r="A125" s="1">
        <v>45770</v>
      </c>
      <c r="B125" t="s">
        <v>40</v>
      </c>
      <c r="C125" t="s">
        <v>14</v>
      </c>
      <c r="D125" t="s">
        <v>15</v>
      </c>
      <c r="E125">
        <v>5</v>
      </c>
      <c r="F125" s="3">
        <v>7500</v>
      </c>
      <c r="G125" t="s">
        <v>11</v>
      </c>
      <c r="H125" t="s">
        <v>19</v>
      </c>
    </row>
    <row r="126" spans="1:8" x14ac:dyDescent="0.25">
      <c r="A126" s="1">
        <v>45888</v>
      </c>
      <c r="B126" t="s">
        <v>46</v>
      </c>
      <c r="C126" t="s">
        <v>41</v>
      </c>
      <c r="D126" t="s">
        <v>26</v>
      </c>
      <c r="E126">
        <v>15</v>
      </c>
      <c r="F126" s="3">
        <v>29475</v>
      </c>
      <c r="G126" t="s">
        <v>11</v>
      </c>
      <c r="H126" t="s">
        <v>28</v>
      </c>
    </row>
    <row r="127" spans="1:8" x14ac:dyDescent="0.25">
      <c r="A127" s="1">
        <v>45384</v>
      </c>
      <c r="B127" t="s">
        <v>40</v>
      </c>
      <c r="C127" t="s">
        <v>25</v>
      </c>
      <c r="D127" t="s">
        <v>26</v>
      </c>
      <c r="E127">
        <v>20</v>
      </c>
      <c r="F127" s="3">
        <v>29100</v>
      </c>
      <c r="G127" t="s">
        <v>27</v>
      </c>
      <c r="H127" t="s">
        <v>32</v>
      </c>
    </row>
    <row r="128" spans="1:8" x14ac:dyDescent="0.25">
      <c r="A128" s="1">
        <v>45432</v>
      </c>
      <c r="B128" t="s">
        <v>13</v>
      </c>
      <c r="C128" t="s">
        <v>9</v>
      </c>
      <c r="D128" t="s">
        <v>10</v>
      </c>
      <c r="E128">
        <v>11</v>
      </c>
      <c r="F128" s="3">
        <v>2222</v>
      </c>
      <c r="G128" t="s">
        <v>16</v>
      </c>
      <c r="H128" t="s">
        <v>12</v>
      </c>
    </row>
    <row r="129" spans="1:8" x14ac:dyDescent="0.25">
      <c r="A129" s="1">
        <v>45360</v>
      </c>
      <c r="B129" t="s">
        <v>48</v>
      </c>
      <c r="C129" t="s">
        <v>35</v>
      </c>
      <c r="D129" t="s">
        <v>36</v>
      </c>
      <c r="E129">
        <v>16</v>
      </c>
      <c r="F129" s="3">
        <v>1280</v>
      </c>
      <c r="G129" t="s">
        <v>27</v>
      </c>
      <c r="H129" t="s">
        <v>28</v>
      </c>
    </row>
    <row r="130" spans="1:8" x14ac:dyDescent="0.25">
      <c r="A130" s="1">
        <v>45551</v>
      </c>
      <c r="B130" t="s">
        <v>24</v>
      </c>
      <c r="C130" t="s">
        <v>9</v>
      </c>
      <c r="D130" t="s">
        <v>10</v>
      </c>
      <c r="E130">
        <v>19</v>
      </c>
      <c r="F130" s="3">
        <v>23769</v>
      </c>
      <c r="G130" t="s">
        <v>27</v>
      </c>
      <c r="H130" t="s">
        <v>32</v>
      </c>
    </row>
    <row r="131" spans="1:8" x14ac:dyDescent="0.25">
      <c r="A131" s="1">
        <v>45252</v>
      </c>
      <c r="B131" t="s">
        <v>8</v>
      </c>
      <c r="C131" t="s">
        <v>41</v>
      </c>
      <c r="D131" t="s">
        <v>26</v>
      </c>
      <c r="E131">
        <v>6</v>
      </c>
      <c r="F131" s="3">
        <v>2940</v>
      </c>
      <c r="G131" t="s">
        <v>31</v>
      </c>
      <c r="H131" t="s">
        <v>32</v>
      </c>
    </row>
    <row r="132" spans="1:8" x14ac:dyDescent="0.25">
      <c r="A132" s="1">
        <v>45519</v>
      </c>
      <c r="B132" t="s">
        <v>46</v>
      </c>
      <c r="C132" t="s">
        <v>38</v>
      </c>
      <c r="D132" t="s">
        <v>22</v>
      </c>
      <c r="E132">
        <v>11</v>
      </c>
      <c r="F132" s="3">
        <v>12221</v>
      </c>
      <c r="G132" t="s">
        <v>11</v>
      </c>
      <c r="H132" t="s">
        <v>17</v>
      </c>
    </row>
    <row r="133" spans="1:8" x14ac:dyDescent="0.25">
      <c r="A133" s="1">
        <v>45812</v>
      </c>
      <c r="B133" t="s">
        <v>18</v>
      </c>
      <c r="C133" t="s">
        <v>35</v>
      </c>
      <c r="D133" t="s">
        <v>36</v>
      </c>
      <c r="E133">
        <v>1</v>
      </c>
      <c r="F133" s="3">
        <v>1244</v>
      </c>
      <c r="G133" t="s">
        <v>39</v>
      </c>
      <c r="H133" t="s">
        <v>17</v>
      </c>
    </row>
    <row r="134" spans="1:8" x14ac:dyDescent="0.25">
      <c r="A134" s="1">
        <v>45598</v>
      </c>
      <c r="B134" t="s">
        <v>8</v>
      </c>
      <c r="C134" t="s">
        <v>21</v>
      </c>
      <c r="D134" t="s">
        <v>22</v>
      </c>
      <c r="E134">
        <v>2</v>
      </c>
      <c r="F134" s="3">
        <v>816</v>
      </c>
      <c r="G134" t="s">
        <v>27</v>
      </c>
      <c r="H134" t="s">
        <v>17</v>
      </c>
    </row>
    <row r="135" spans="1:8" x14ac:dyDescent="0.25">
      <c r="A135" s="1">
        <v>45898</v>
      </c>
      <c r="B135" t="s">
        <v>46</v>
      </c>
      <c r="C135" t="s">
        <v>41</v>
      </c>
      <c r="D135" t="s">
        <v>26</v>
      </c>
      <c r="E135">
        <v>14</v>
      </c>
      <c r="F135" s="3">
        <v>22400</v>
      </c>
      <c r="G135" t="s">
        <v>11</v>
      </c>
      <c r="H135" t="s">
        <v>34</v>
      </c>
    </row>
    <row r="136" spans="1:8" x14ac:dyDescent="0.25">
      <c r="A136" s="1">
        <v>45094</v>
      </c>
      <c r="B136" t="s">
        <v>18</v>
      </c>
      <c r="C136" t="s">
        <v>21</v>
      </c>
      <c r="D136" t="s">
        <v>22</v>
      </c>
      <c r="E136">
        <v>10</v>
      </c>
      <c r="F136" s="3">
        <v>19860</v>
      </c>
      <c r="G136" t="s">
        <v>39</v>
      </c>
      <c r="H136" t="s">
        <v>34</v>
      </c>
    </row>
    <row r="137" spans="1:8" x14ac:dyDescent="0.25">
      <c r="A137" s="1">
        <v>45111</v>
      </c>
      <c r="B137" t="s">
        <v>20</v>
      </c>
      <c r="C137" t="s">
        <v>21</v>
      </c>
      <c r="D137" t="s">
        <v>22</v>
      </c>
      <c r="E137">
        <v>1</v>
      </c>
      <c r="F137" s="3">
        <v>1528</v>
      </c>
      <c r="G137" t="s">
        <v>31</v>
      </c>
      <c r="H137" t="s">
        <v>12</v>
      </c>
    </row>
    <row r="138" spans="1:8" x14ac:dyDescent="0.25">
      <c r="A138" s="1">
        <v>45708</v>
      </c>
      <c r="B138" t="s">
        <v>47</v>
      </c>
      <c r="C138" t="s">
        <v>38</v>
      </c>
      <c r="D138" t="s">
        <v>22</v>
      </c>
      <c r="E138">
        <v>4</v>
      </c>
      <c r="F138" s="3">
        <v>828</v>
      </c>
      <c r="G138" t="s">
        <v>16</v>
      </c>
      <c r="H138" t="s">
        <v>12</v>
      </c>
    </row>
    <row r="139" spans="1:8" x14ac:dyDescent="0.25">
      <c r="A139" s="1">
        <v>45689</v>
      </c>
      <c r="B139" t="s">
        <v>47</v>
      </c>
      <c r="C139" t="s">
        <v>9</v>
      </c>
      <c r="D139" t="s">
        <v>10</v>
      </c>
      <c r="E139">
        <v>18</v>
      </c>
      <c r="F139" s="3">
        <v>24840</v>
      </c>
      <c r="G139" t="s">
        <v>11</v>
      </c>
      <c r="H139" t="s">
        <v>34</v>
      </c>
    </row>
    <row r="140" spans="1:8" x14ac:dyDescent="0.25">
      <c r="A140" s="1">
        <v>45248</v>
      </c>
      <c r="B140" t="s">
        <v>8</v>
      </c>
      <c r="C140" t="s">
        <v>30</v>
      </c>
      <c r="D140" t="s">
        <v>15</v>
      </c>
      <c r="E140">
        <v>18</v>
      </c>
      <c r="F140" s="3">
        <v>2376</v>
      </c>
      <c r="G140" t="s">
        <v>16</v>
      </c>
      <c r="H140" t="s">
        <v>28</v>
      </c>
    </row>
    <row r="141" spans="1:8" x14ac:dyDescent="0.25">
      <c r="A141" s="1">
        <v>45427</v>
      </c>
      <c r="B141" t="s">
        <v>13</v>
      </c>
      <c r="C141" t="s">
        <v>25</v>
      </c>
      <c r="D141" t="s">
        <v>26</v>
      </c>
      <c r="E141">
        <v>17</v>
      </c>
      <c r="F141" s="3">
        <v>29087</v>
      </c>
      <c r="G141" t="s">
        <v>31</v>
      </c>
      <c r="H141" t="s">
        <v>43</v>
      </c>
    </row>
    <row r="142" spans="1:8" x14ac:dyDescent="0.25">
      <c r="A142" s="1">
        <v>45317</v>
      </c>
      <c r="B142" t="s">
        <v>29</v>
      </c>
      <c r="C142" t="s">
        <v>38</v>
      </c>
      <c r="D142" t="s">
        <v>22</v>
      </c>
      <c r="E142">
        <v>20</v>
      </c>
      <c r="F142" s="3">
        <v>30480</v>
      </c>
      <c r="G142" t="s">
        <v>27</v>
      </c>
      <c r="H142" t="s">
        <v>23</v>
      </c>
    </row>
    <row r="143" spans="1:8" x14ac:dyDescent="0.25">
      <c r="A143" s="1">
        <v>45217</v>
      </c>
      <c r="B143" t="s">
        <v>33</v>
      </c>
      <c r="C143" t="s">
        <v>25</v>
      </c>
      <c r="D143" t="s">
        <v>26</v>
      </c>
      <c r="E143">
        <v>14</v>
      </c>
      <c r="F143" s="3">
        <v>3836</v>
      </c>
      <c r="G143" t="s">
        <v>27</v>
      </c>
      <c r="H143" t="s">
        <v>17</v>
      </c>
    </row>
    <row r="144" spans="1:8" x14ac:dyDescent="0.25">
      <c r="A144" s="1">
        <v>45975</v>
      </c>
      <c r="B144" t="s">
        <v>8</v>
      </c>
      <c r="C144" t="s">
        <v>35</v>
      </c>
      <c r="D144" t="s">
        <v>36</v>
      </c>
      <c r="E144">
        <v>5</v>
      </c>
      <c r="F144" s="3">
        <v>3285</v>
      </c>
      <c r="G144" t="s">
        <v>11</v>
      </c>
      <c r="H144" t="s">
        <v>28</v>
      </c>
    </row>
    <row r="145" spans="1:8" x14ac:dyDescent="0.25">
      <c r="A145" s="1">
        <v>45205</v>
      </c>
      <c r="B145" t="s">
        <v>33</v>
      </c>
      <c r="C145" t="s">
        <v>14</v>
      </c>
      <c r="D145" t="s">
        <v>15</v>
      </c>
      <c r="E145">
        <v>19</v>
      </c>
      <c r="F145" s="3">
        <v>28006</v>
      </c>
      <c r="G145" t="s">
        <v>27</v>
      </c>
      <c r="H145" t="s">
        <v>12</v>
      </c>
    </row>
    <row r="146" spans="1:8" x14ac:dyDescent="0.25">
      <c r="A146" s="1">
        <v>45490</v>
      </c>
      <c r="B146" t="s">
        <v>20</v>
      </c>
      <c r="C146" t="s">
        <v>25</v>
      </c>
      <c r="D146" t="s">
        <v>26</v>
      </c>
      <c r="E146">
        <v>6</v>
      </c>
      <c r="F146" s="3">
        <v>8160</v>
      </c>
      <c r="G146" t="s">
        <v>31</v>
      </c>
      <c r="H146" t="s">
        <v>43</v>
      </c>
    </row>
    <row r="147" spans="1:8" x14ac:dyDescent="0.25">
      <c r="A147" s="1">
        <v>44985</v>
      </c>
      <c r="B147" t="s">
        <v>47</v>
      </c>
      <c r="C147" t="s">
        <v>35</v>
      </c>
      <c r="D147" t="s">
        <v>36</v>
      </c>
      <c r="E147">
        <v>10</v>
      </c>
      <c r="F147" s="3">
        <v>690</v>
      </c>
      <c r="G147" t="s">
        <v>31</v>
      </c>
      <c r="H147" t="s">
        <v>32</v>
      </c>
    </row>
    <row r="148" spans="1:8" x14ac:dyDescent="0.25">
      <c r="A148" s="1">
        <v>45619</v>
      </c>
      <c r="B148" t="s">
        <v>8</v>
      </c>
      <c r="C148" t="s">
        <v>30</v>
      </c>
      <c r="D148" t="s">
        <v>15</v>
      </c>
      <c r="E148">
        <v>16</v>
      </c>
      <c r="F148" s="3">
        <v>31824</v>
      </c>
      <c r="G148" t="s">
        <v>31</v>
      </c>
      <c r="H148" t="s">
        <v>28</v>
      </c>
    </row>
    <row r="149" spans="1:8" x14ac:dyDescent="0.25">
      <c r="A149" s="1">
        <v>45826</v>
      </c>
      <c r="B149" t="s">
        <v>18</v>
      </c>
      <c r="C149" t="s">
        <v>25</v>
      </c>
      <c r="D149" t="s">
        <v>26</v>
      </c>
      <c r="E149">
        <v>2</v>
      </c>
      <c r="F149" s="3">
        <v>3872</v>
      </c>
      <c r="G149" t="s">
        <v>39</v>
      </c>
      <c r="H149" t="s">
        <v>43</v>
      </c>
    </row>
    <row r="150" spans="1:8" x14ac:dyDescent="0.25">
      <c r="A150" s="1">
        <v>45620</v>
      </c>
      <c r="B150" t="s">
        <v>8</v>
      </c>
      <c r="C150" t="s">
        <v>38</v>
      </c>
      <c r="D150" t="s">
        <v>22</v>
      </c>
      <c r="E150">
        <v>16</v>
      </c>
      <c r="F150" s="3">
        <v>29872</v>
      </c>
      <c r="G150" t="s">
        <v>11</v>
      </c>
      <c r="H150" t="s">
        <v>19</v>
      </c>
    </row>
    <row r="151" spans="1:8" x14ac:dyDescent="0.25">
      <c r="A151" s="1">
        <v>45207</v>
      </c>
      <c r="B151" t="s">
        <v>33</v>
      </c>
      <c r="C151" t="s">
        <v>35</v>
      </c>
      <c r="D151" t="s">
        <v>36</v>
      </c>
      <c r="E151">
        <v>12</v>
      </c>
      <c r="F151" s="3">
        <v>5532</v>
      </c>
      <c r="G151" t="s">
        <v>39</v>
      </c>
      <c r="H151" t="s">
        <v>12</v>
      </c>
    </row>
    <row r="152" spans="1:8" x14ac:dyDescent="0.25">
      <c r="A152" s="1">
        <v>44995</v>
      </c>
      <c r="B152" t="s">
        <v>48</v>
      </c>
      <c r="C152" t="s">
        <v>37</v>
      </c>
      <c r="D152" t="s">
        <v>15</v>
      </c>
      <c r="E152">
        <v>5</v>
      </c>
      <c r="F152" s="3">
        <v>9315</v>
      </c>
      <c r="G152" t="s">
        <v>31</v>
      </c>
      <c r="H152" t="s">
        <v>43</v>
      </c>
    </row>
    <row r="153" spans="1:8" x14ac:dyDescent="0.25">
      <c r="A153" s="1">
        <v>45752</v>
      </c>
      <c r="B153" t="s">
        <v>40</v>
      </c>
      <c r="C153" t="s">
        <v>25</v>
      </c>
      <c r="D153" t="s">
        <v>26</v>
      </c>
      <c r="E153">
        <v>8</v>
      </c>
      <c r="F153" s="3">
        <v>2496</v>
      </c>
      <c r="G153" t="s">
        <v>39</v>
      </c>
      <c r="H153" t="s">
        <v>43</v>
      </c>
    </row>
    <row r="154" spans="1:8" x14ac:dyDescent="0.25">
      <c r="A154" s="1">
        <v>45617</v>
      </c>
      <c r="B154" t="s">
        <v>8</v>
      </c>
      <c r="C154" t="s">
        <v>41</v>
      </c>
      <c r="D154" t="s">
        <v>26</v>
      </c>
      <c r="E154">
        <v>7</v>
      </c>
      <c r="F154" s="3">
        <v>5005</v>
      </c>
      <c r="G154" t="s">
        <v>16</v>
      </c>
      <c r="H154" t="s">
        <v>19</v>
      </c>
    </row>
    <row r="155" spans="1:8" x14ac:dyDescent="0.25">
      <c r="A155" s="1">
        <v>45540</v>
      </c>
      <c r="B155" t="s">
        <v>24</v>
      </c>
      <c r="C155" t="s">
        <v>44</v>
      </c>
      <c r="D155" t="s">
        <v>45</v>
      </c>
      <c r="E155">
        <v>12</v>
      </c>
      <c r="F155" s="3">
        <v>1284</v>
      </c>
      <c r="G155" t="s">
        <v>11</v>
      </c>
      <c r="H155" t="s">
        <v>12</v>
      </c>
    </row>
    <row r="156" spans="1:8" x14ac:dyDescent="0.25">
      <c r="A156" s="1">
        <v>45784</v>
      </c>
      <c r="B156" t="s">
        <v>13</v>
      </c>
      <c r="C156" t="s">
        <v>35</v>
      </c>
      <c r="D156" t="s">
        <v>36</v>
      </c>
      <c r="E156">
        <v>9</v>
      </c>
      <c r="F156" s="3">
        <v>16281</v>
      </c>
      <c r="G156" t="s">
        <v>31</v>
      </c>
      <c r="H156" t="s">
        <v>17</v>
      </c>
    </row>
    <row r="157" spans="1:8" x14ac:dyDescent="0.25">
      <c r="A157" s="1">
        <v>45360</v>
      </c>
      <c r="B157" t="s">
        <v>48</v>
      </c>
      <c r="C157" t="s">
        <v>21</v>
      </c>
      <c r="D157" t="s">
        <v>22</v>
      </c>
      <c r="E157">
        <v>5</v>
      </c>
      <c r="F157" s="3">
        <v>6065</v>
      </c>
      <c r="G157" t="s">
        <v>39</v>
      </c>
      <c r="H157" t="s">
        <v>19</v>
      </c>
    </row>
    <row r="158" spans="1:8" x14ac:dyDescent="0.25">
      <c r="A158" s="1">
        <v>45043</v>
      </c>
      <c r="B158" t="s">
        <v>40</v>
      </c>
      <c r="C158" t="s">
        <v>37</v>
      </c>
      <c r="D158" t="s">
        <v>15</v>
      </c>
      <c r="E158">
        <v>17</v>
      </c>
      <c r="F158" s="3">
        <v>13566</v>
      </c>
      <c r="G158" t="s">
        <v>39</v>
      </c>
      <c r="H158" t="s">
        <v>43</v>
      </c>
    </row>
    <row r="159" spans="1:8" x14ac:dyDescent="0.25">
      <c r="A159" s="1">
        <v>45860</v>
      </c>
      <c r="B159" t="s">
        <v>20</v>
      </c>
      <c r="C159" t="s">
        <v>35</v>
      </c>
      <c r="D159" t="s">
        <v>36</v>
      </c>
      <c r="E159">
        <v>10</v>
      </c>
      <c r="F159" s="3">
        <v>15610</v>
      </c>
      <c r="G159" t="s">
        <v>16</v>
      </c>
      <c r="H159" t="s">
        <v>19</v>
      </c>
    </row>
    <row r="160" spans="1:8" x14ac:dyDescent="0.25">
      <c r="A160" s="1">
        <v>45499</v>
      </c>
      <c r="B160" t="s">
        <v>20</v>
      </c>
      <c r="C160" t="s">
        <v>21</v>
      </c>
      <c r="D160" t="s">
        <v>22</v>
      </c>
      <c r="E160">
        <v>20</v>
      </c>
      <c r="F160" s="3">
        <v>35340</v>
      </c>
      <c r="G160" t="s">
        <v>11</v>
      </c>
      <c r="H160" t="s">
        <v>34</v>
      </c>
    </row>
    <row r="161" spans="1:8" x14ac:dyDescent="0.25">
      <c r="A161" s="1">
        <v>44976</v>
      </c>
      <c r="B161" t="s">
        <v>47</v>
      </c>
      <c r="C161" t="s">
        <v>37</v>
      </c>
      <c r="D161" t="s">
        <v>15</v>
      </c>
      <c r="E161">
        <v>17</v>
      </c>
      <c r="F161" s="3">
        <v>1275</v>
      </c>
      <c r="G161" t="s">
        <v>31</v>
      </c>
      <c r="H161" t="s">
        <v>34</v>
      </c>
    </row>
    <row r="162" spans="1:8" x14ac:dyDescent="0.25">
      <c r="A162" s="1">
        <v>45289</v>
      </c>
      <c r="B162" t="s">
        <v>42</v>
      </c>
      <c r="C162" t="s">
        <v>14</v>
      </c>
      <c r="D162" t="s">
        <v>15</v>
      </c>
      <c r="E162">
        <v>8</v>
      </c>
      <c r="F162" s="3">
        <v>3608</v>
      </c>
      <c r="G162" t="s">
        <v>39</v>
      </c>
      <c r="H162" t="s">
        <v>43</v>
      </c>
    </row>
    <row r="163" spans="1:8" x14ac:dyDescent="0.25">
      <c r="A163" s="1">
        <v>45907</v>
      </c>
      <c r="B163" t="s">
        <v>24</v>
      </c>
      <c r="C163" t="s">
        <v>30</v>
      </c>
      <c r="D163" t="s">
        <v>15</v>
      </c>
      <c r="E163">
        <v>12</v>
      </c>
      <c r="F163" s="3">
        <v>23004</v>
      </c>
      <c r="G163" t="s">
        <v>11</v>
      </c>
      <c r="H163" t="s">
        <v>19</v>
      </c>
    </row>
    <row r="164" spans="1:8" x14ac:dyDescent="0.25">
      <c r="A164" s="1">
        <v>45525</v>
      </c>
      <c r="B164" t="s">
        <v>46</v>
      </c>
      <c r="C164" t="s">
        <v>38</v>
      </c>
      <c r="D164" t="s">
        <v>22</v>
      </c>
      <c r="E164">
        <v>5</v>
      </c>
      <c r="F164" s="3">
        <v>9110</v>
      </c>
      <c r="G164" t="s">
        <v>39</v>
      </c>
      <c r="H164" t="s">
        <v>32</v>
      </c>
    </row>
    <row r="165" spans="1:8" x14ac:dyDescent="0.25">
      <c r="A165" s="1">
        <v>45268</v>
      </c>
      <c r="B165" t="s">
        <v>42</v>
      </c>
      <c r="C165" t="s">
        <v>21</v>
      </c>
      <c r="D165" t="s">
        <v>22</v>
      </c>
      <c r="E165">
        <v>13</v>
      </c>
      <c r="F165" s="3">
        <v>2470</v>
      </c>
      <c r="G165" t="s">
        <v>39</v>
      </c>
      <c r="H165" t="s">
        <v>34</v>
      </c>
    </row>
    <row r="166" spans="1:8" x14ac:dyDescent="0.25">
      <c r="A166" s="1">
        <v>45111</v>
      </c>
      <c r="B166" t="s">
        <v>20</v>
      </c>
      <c r="C166" t="s">
        <v>37</v>
      </c>
      <c r="D166" t="s">
        <v>15</v>
      </c>
      <c r="E166">
        <v>19</v>
      </c>
      <c r="F166" s="3">
        <v>9405</v>
      </c>
      <c r="G166" t="s">
        <v>31</v>
      </c>
      <c r="H166" t="s">
        <v>28</v>
      </c>
    </row>
    <row r="167" spans="1:8" x14ac:dyDescent="0.25">
      <c r="A167" s="1">
        <v>45437</v>
      </c>
      <c r="B167" t="s">
        <v>13</v>
      </c>
      <c r="C167" t="s">
        <v>30</v>
      </c>
      <c r="D167" t="s">
        <v>15</v>
      </c>
      <c r="E167">
        <v>5</v>
      </c>
      <c r="F167" s="3">
        <v>7660</v>
      </c>
      <c r="G167" t="s">
        <v>11</v>
      </c>
      <c r="H167" t="s">
        <v>34</v>
      </c>
    </row>
    <row r="168" spans="1:8" x14ac:dyDescent="0.25">
      <c r="A168" s="1">
        <v>45217</v>
      </c>
      <c r="B168" t="s">
        <v>33</v>
      </c>
      <c r="C168" t="s">
        <v>9</v>
      </c>
      <c r="D168" t="s">
        <v>10</v>
      </c>
      <c r="E168">
        <v>15</v>
      </c>
      <c r="F168" s="3">
        <v>13305</v>
      </c>
      <c r="G168" t="s">
        <v>16</v>
      </c>
      <c r="H168" t="s">
        <v>12</v>
      </c>
    </row>
    <row r="169" spans="1:8" x14ac:dyDescent="0.25">
      <c r="A169" s="1">
        <v>45183</v>
      </c>
      <c r="B169" t="s">
        <v>24</v>
      </c>
      <c r="C169" t="s">
        <v>30</v>
      </c>
      <c r="D169" t="s">
        <v>15</v>
      </c>
      <c r="E169">
        <v>7</v>
      </c>
      <c r="F169" s="3">
        <v>11683</v>
      </c>
      <c r="G169" t="s">
        <v>39</v>
      </c>
      <c r="H169" t="s">
        <v>43</v>
      </c>
    </row>
    <row r="170" spans="1:8" x14ac:dyDescent="0.25">
      <c r="A170" s="1">
        <v>45230</v>
      </c>
      <c r="B170" t="s">
        <v>33</v>
      </c>
      <c r="C170" t="s">
        <v>9</v>
      </c>
      <c r="D170" t="s">
        <v>10</v>
      </c>
      <c r="E170">
        <v>13</v>
      </c>
      <c r="F170" s="3">
        <v>21762</v>
      </c>
      <c r="G170" t="s">
        <v>39</v>
      </c>
      <c r="H170" t="s">
        <v>17</v>
      </c>
    </row>
    <row r="171" spans="1:8" x14ac:dyDescent="0.25">
      <c r="A171" s="1">
        <v>45166</v>
      </c>
      <c r="B171" t="s">
        <v>46</v>
      </c>
      <c r="C171" t="s">
        <v>38</v>
      </c>
      <c r="D171" t="s">
        <v>22</v>
      </c>
      <c r="E171">
        <v>13</v>
      </c>
      <c r="F171" s="3">
        <v>22373</v>
      </c>
      <c r="G171" t="s">
        <v>16</v>
      </c>
      <c r="H171" t="s">
        <v>34</v>
      </c>
    </row>
    <row r="172" spans="1:8" x14ac:dyDescent="0.25">
      <c r="A172" s="1">
        <v>46020</v>
      </c>
      <c r="B172" t="s">
        <v>42</v>
      </c>
      <c r="C172" t="s">
        <v>41</v>
      </c>
      <c r="D172" t="s">
        <v>26</v>
      </c>
      <c r="E172">
        <v>15</v>
      </c>
      <c r="F172" s="3">
        <v>5205</v>
      </c>
      <c r="G172" t="s">
        <v>27</v>
      </c>
      <c r="H172" t="s">
        <v>28</v>
      </c>
    </row>
    <row r="173" spans="1:8" x14ac:dyDescent="0.25">
      <c r="A173" s="1">
        <v>45240</v>
      </c>
      <c r="B173" t="s">
        <v>8</v>
      </c>
      <c r="C173" t="s">
        <v>30</v>
      </c>
      <c r="D173" t="s">
        <v>15</v>
      </c>
      <c r="E173">
        <v>12</v>
      </c>
      <c r="F173" s="3">
        <v>2412</v>
      </c>
      <c r="G173" t="s">
        <v>16</v>
      </c>
      <c r="H173" t="s">
        <v>43</v>
      </c>
    </row>
    <row r="174" spans="1:8" x14ac:dyDescent="0.25">
      <c r="A174" s="1">
        <v>45742</v>
      </c>
      <c r="B174" t="s">
        <v>48</v>
      </c>
      <c r="C174" t="s">
        <v>30</v>
      </c>
      <c r="D174" t="s">
        <v>15</v>
      </c>
      <c r="E174">
        <v>1</v>
      </c>
      <c r="F174" s="3">
        <v>1865</v>
      </c>
      <c r="G174" t="s">
        <v>39</v>
      </c>
      <c r="H174" t="s">
        <v>43</v>
      </c>
    </row>
    <row r="175" spans="1:8" x14ac:dyDescent="0.25">
      <c r="A175" s="1">
        <v>45167</v>
      </c>
      <c r="B175" t="s">
        <v>46</v>
      </c>
      <c r="C175" t="s">
        <v>14</v>
      </c>
      <c r="D175" t="s">
        <v>15</v>
      </c>
      <c r="E175">
        <v>20</v>
      </c>
      <c r="F175" s="3">
        <v>36040</v>
      </c>
      <c r="G175" t="s">
        <v>31</v>
      </c>
      <c r="H175" t="s">
        <v>23</v>
      </c>
    </row>
    <row r="176" spans="1:8" x14ac:dyDescent="0.25">
      <c r="A176" s="1">
        <v>45510</v>
      </c>
      <c r="B176" t="s">
        <v>46</v>
      </c>
      <c r="C176" t="s">
        <v>21</v>
      </c>
      <c r="D176" t="s">
        <v>22</v>
      </c>
      <c r="E176">
        <v>7</v>
      </c>
      <c r="F176" s="3">
        <v>1281</v>
      </c>
      <c r="G176" t="s">
        <v>27</v>
      </c>
      <c r="H176" t="s">
        <v>43</v>
      </c>
    </row>
    <row r="177" spans="1:8" x14ac:dyDescent="0.25">
      <c r="A177" s="1">
        <v>45024</v>
      </c>
      <c r="B177" t="s">
        <v>40</v>
      </c>
      <c r="C177" t="s">
        <v>21</v>
      </c>
      <c r="D177" t="s">
        <v>22</v>
      </c>
      <c r="E177">
        <v>11</v>
      </c>
      <c r="F177" s="3">
        <v>10593</v>
      </c>
      <c r="G177" t="s">
        <v>16</v>
      </c>
      <c r="H177" t="s">
        <v>23</v>
      </c>
    </row>
    <row r="178" spans="1:8" x14ac:dyDescent="0.25">
      <c r="A178" s="1">
        <v>45345</v>
      </c>
      <c r="B178" t="s">
        <v>47</v>
      </c>
      <c r="C178" t="s">
        <v>37</v>
      </c>
      <c r="D178" t="s">
        <v>15</v>
      </c>
      <c r="E178">
        <v>19</v>
      </c>
      <c r="F178" s="3">
        <v>14079</v>
      </c>
      <c r="G178" t="s">
        <v>31</v>
      </c>
      <c r="H178" t="s">
        <v>23</v>
      </c>
    </row>
    <row r="179" spans="1:8" x14ac:dyDescent="0.25">
      <c r="A179" s="1">
        <v>45360</v>
      </c>
      <c r="B179" t="s">
        <v>48</v>
      </c>
      <c r="C179" t="s">
        <v>14</v>
      </c>
      <c r="D179" t="s">
        <v>15</v>
      </c>
      <c r="E179">
        <v>4</v>
      </c>
      <c r="F179" s="3">
        <v>680</v>
      </c>
      <c r="G179" t="s">
        <v>39</v>
      </c>
      <c r="H179" t="s">
        <v>12</v>
      </c>
    </row>
    <row r="180" spans="1:8" x14ac:dyDescent="0.25">
      <c r="A180" s="1">
        <v>45963</v>
      </c>
      <c r="B180" t="s">
        <v>8</v>
      </c>
      <c r="C180" t="s">
        <v>37</v>
      </c>
      <c r="D180" t="s">
        <v>15</v>
      </c>
      <c r="E180">
        <v>17</v>
      </c>
      <c r="F180" s="3">
        <v>17612</v>
      </c>
      <c r="G180" t="s">
        <v>11</v>
      </c>
      <c r="H180" t="s">
        <v>32</v>
      </c>
    </row>
    <row r="181" spans="1:8" x14ac:dyDescent="0.25">
      <c r="A181" s="1">
        <v>45529</v>
      </c>
      <c r="B181" t="s">
        <v>46</v>
      </c>
      <c r="C181" t="s">
        <v>37</v>
      </c>
      <c r="D181" t="s">
        <v>15</v>
      </c>
      <c r="E181">
        <v>6</v>
      </c>
      <c r="F181" s="3">
        <v>1410</v>
      </c>
      <c r="G181" t="s">
        <v>16</v>
      </c>
      <c r="H181" t="s">
        <v>23</v>
      </c>
    </row>
    <row r="182" spans="1:8" x14ac:dyDescent="0.25">
      <c r="A182" s="1">
        <v>45846</v>
      </c>
      <c r="B182" t="s">
        <v>20</v>
      </c>
      <c r="C182" t="s">
        <v>44</v>
      </c>
      <c r="D182" t="s">
        <v>45</v>
      </c>
      <c r="E182">
        <v>8</v>
      </c>
      <c r="F182" s="3">
        <v>5600</v>
      </c>
      <c r="G182" t="s">
        <v>16</v>
      </c>
      <c r="H182" t="s">
        <v>32</v>
      </c>
    </row>
    <row r="183" spans="1:8" x14ac:dyDescent="0.25">
      <c r="A183" s="1">
        <v>45850</v>
      </c>
      <c r="B183" t="s">
        <v>20</v>
      </c>
      <c r="C183" t="s">
        <v>44</v>
      </c>
      <c r="D183" t="s">
        <v>45</v>
      </c>
      <c r="E183">
        <v>9</v>
      </c>
      <c r="F183" s="3">
        <v>13671</v>
      </c>
      <c r="G183" t="s">
        <v>31</v>
      </c>
      <c r="H183" t="s">
        <v>34</v>
      </c>
    </row>
    <row r="184" spans="1:8" x14ac:dyDescent="0.25">
      <c r="A184" s="1">
        <v>45679</v>
      </c>
      <c r="B184" t="s">
        <v>29</v>
      </c>
      <c r="C184" t="s">
        <v>25</v>
      </c>
      <c r="D184" t="s">
        <v>26</v>
      </c>
      <c r="E184">
        <v>20</v>
      </c>
      <c r="F184" s="3">
        <v>19220</v>
      </c>
      <c r="G184" t="s">
        <v>16</v>
      </c>
      <c r="H184" t="s">
        <v>32</v>
      </c>
    </row>
    <row r="185" spans="1:8" x14ac:dyDescent="0.25">
      <c r="A185" s="1">
        <v>45938</v>
      </c>
      <c r="B185" t="s">
        <v>33</v>
      </c>
      <c r="C185" t="s">
        <v>30</v>
      </c>
      <c r="D185" t="s">
        <v>15</v>
      </c>
      <c r="E185">
        <v>1</v>
      </c>
      <c r="F185" s="3">
        <v>1220</v>
      </c>
      <c r="G185" t="s">
        <v>16</v>
      </c>
      <c r="H185" t="s">
        <v>28</v>
      </c>
    </row>
    <row r="186" spans="1:8" x14ac:dyDescent="0.25">
      <c r="A186" s="1">
        <v>45878</v>
      </c>
      <c r="B186" t="s">
        <v>46</v>
      </c>
      <c r="C186" t="s">
        <v>44</v>
      </c>
      <c r="D186" t="s">
        <v>45</v>
      </c>
      <c r="E186">
        <v>2</v>
      </c>
      <c r="F186" s="3">
        <v>2490</v>
      </c>
      <c r="G186" t="s">
        <v>39</v>
      </c>
      <c r="H186" t="s">
        <v>28</v>
      </c>
    </row>
    <row r="187" spans="1:8" x14ac:dyDescent="0.25">
      <c r="A187" s="1">
        <v>45210</v>
      </c>
      <c r="B187" t="s">
        <v>33</v>
      </c>
      <c r="C187" t="s">
        <v>30</v>
      </c>
      <c r="D187" t="s">
        <v>15</v>
      </c>
      <c r="E187">
        <v>15</v>
      </c>
      <c r="F187" s="3">
        <v>28035</v>
      </c>
      <c r="G187" t="s">
        <v>27</v>
      </c>
      <c r="H187" t="s">
        <v>12</v>
      </c>
    </row>
    <row r="188" spans="1:8" x14ac:dyDescent="0.25">
      <c r="A188" s="1">
        <v>45033</v>
      </c>
      <c r="B188" t="s">
        <v>40</v>
      </c>
      <c r="C188" t="s">
        <v>21</v>
      </c>
      <c r="D188" t="s">
        <v>22</v>
      </c>
      <c r="E188">
        <v>7</v>
      </c>
      <c r="F188" s="3">
        <v>5054</v>
      </c>
      <c r="G188" t="s">
        <v>16</v>
      </c>
      <c r="H188" t="s">
        <v>17</v>
      </c>
    </row>
    <row r="189" spans="1:8" x14ac:dyDescent="0.25">
      <c r="A189" s="1">
        <v>45257</v>
      </c>
      <c r="B189" t="s">
        <v>8</v>
      </c>
      <c r="C189" t="s">
        <v>44</v>
      </c>
      <c r="D189" t="s">
        <v>45</v>
      </c>
      <c r="E189">
        <v>19</v>
      </c>
      <c r="F189" s="3">
        <v>36328</v>
      </c>
      <c r="G189" t="s">
        <v>31</v>
      </c>
      <c r="H189" t="s">
        <v>32</v>
      </c>
    </row>
    <row r="190" spans="1:8" x14ac:dyDescent="0.25">
      <c r="A190" s="1">
        <v>45271</v>
      </c>
      <c r="B190" t="s">
        <v>42</v>
      </c>
      <c r="C190" t="s">
        <v>41</v>
      </c>
      <c r="D190" t="s">
        <v>26</v>
      </c>
      <c r="E190">
        <v>6</v>
      </c>
      <c r="F190" s="3">
        <v>9906</v>
      </c>
      <c r="G190" t="s">
        <v>16</v>
      </c>
      <c r="H190" t="s">
        <v>17</v>
      </c>
    </row>
    <row r="191" spans="1:8" x14ac:dyDescent="0.25">
      <c r="A191" s="1">
        <v>44991</v>
      </c>
      <c r="B191" t="s">
        <v>48</v>
      </c>
      <c r="C191" t="s">
        <v>35</v>
      </c>
      <c r="D191" t="s">
        <v>36</v>
      </c>
      <c r="E191">
        <v>6</v>
      </c>
      <c r="F191" s="3">
        <v>3444</v>
      </c>
      <c r="G191" t="s">
        <v>27</v>
      </c>
      <c r="H191" t="s">
        <v>17</v>
      </c>
    </row>
    <row r="192" spans="1:8" x14ac:dyDescent="0.25">
      <c r="A192" s="1">
        <v>45498</v>
      </c>
      <c r="B192" t="s">
        <v>20</v>
      </c>
      <c r="C192" t="s">
        <v>14</v>
      </c>
      <c r="D192" t="s">
        <v>15</v>
      </c>
      <c r="E192">
        <v>6</v>
      </c>
      <c r="F192" s="3">
        <v>8634</v>
      </c>
      <c r="G192" t="s">
        <v>11</v>
      </c>
      <c r="H192" t="s">
        <v>19</v>
      </c>
    </row>
    <row r="193" spans="1:8" x14ac:dyDescent="0.25">
      <c r="A193" s="1">
        <v>44988</v>
      </c>
      <c r="B193" t="s">
        <v>48</v>
      </c>
      <c r="C193" t="s">
        <v>38</v>
      </c>
      <c r="D193" t="s">
        <v>22</v>
      </c>
      <c r="E193">
        <v>18</v>
      </c>
      <c r="F193" s="3">
        <v>26730</v>
      </c>
      <c r="G193" t="s">
        <v>11</v>
      </c>
      <c r="H193" t="s">
        <v>34</v>
      </c>
    </row>
    <row r="194" spans="1:8" x14ac:dyDescent="0.25">
      <c r="A194" s="1">
        <v>45772</v>
      </c>
      <c r="B194" t="s">
        <v>40</v>
      </c>
      <c r="C194" t="s">
        <v>41</v>
      </c>
      <c r="D194" t="s">
        <v>26</v>
      </c>
      <c r="E194">
        <v>17</v>
      </c>
      <c r="F194" s="3">
        <v>6902</v>
      </c>
      <c r="G194" t="s">
        <v>27</v>
      </c>
      <c r="H194" t="s">
        <v>12</v>
      </c>
    </row>
    <row r="195" spans="1:8" x14ac:dyDescent="0.25">
      <c r="A195" s="1">
        <v>45777</v>
      </c>
      <c r="B195" t="s">
        <v>40</v>
      </c>
      <c r="C195" t="s">
        <v>21</v>
      </c>
      <c r="D195" t="s">
        <v>22</v>
      </c>
      <c r="E195">
        <v>18</v>
      </c>
      <c r="F195" s="3">
        <v>4914</v>
      </c>
      <c r="G195" t="s">
        <v>27</v>
      </c>
      <c r="H195" t="s">
        <v>19</v>
      </c>
    </row>
    <row r="196" spans="1:8" x14ac:dyDescent="0.25">
      <c r="A196" s="1">
        <v>45697</v>
      </c>
      <c r="B196" t="s">
        <v>47</v>
      </c>
      <c r="C196" t="s">
        <v>35</v>
      </c>
      <c r="D196" t="s">
        <v>36</v>
      </c>
      <c r="E196">
        <v>19</v>
      </c>
      <c r="F196" s="3">
        <v>12749</v>
      </c>
      <c r="G196" t="s">
        <v>39</v>
      </c>
      <c r="H196" t="s">
        <v>32</v>
      </c>
    </row>
    <row r="197" spans="1:8" x14ac:dyDescent="0.25">
      <c r="A197" s="1">
        <v>45610</v>
      </c>
      <c r="B197" t="s">
        <v>8</v>
      </c>
      <c r="C197" t="s">
        <v>14</v>
      </c>
      <c r="D197" t="s">
        <v>15</v>
      </c>
      <c r="E197">
        <v>12</v>
      </c>
      <c r="F197" s="3">
        <v>15684</v>
      </c>
      <c r="G197" t="s">
        <v>31</v>
      </c>
      <c r="H197" t="s">
        <v>43</v>
      </c>
    </row>
    <row r="198" spans="1:8" x14ac:dyDescent="0.25">
      <c r="A198" s="1">
        <v>45993</v>
      </c>
      <c r="B198" t="s">
        <v>42</v>
      </c>
      <c r="C198" t="s">
        <v>9</v>
      </c>
      <c r="D198" t="s">
        <v>10</v>
      </c>
      <c r="E198">
        <v>6</v>
      </c>
      <c r="F198" s="3">
        <v>4158</v>
      </c>
      <c r="G198" t="s">
        <v>31</v>
      </c>
      <c r="H198" t="s">
        <v>17</v>
      </c>
    </row>
    <row r="199" spans="1:8" x14ac:dyDescent="0.25">
      <c r="A199" s="1">
        <v>45196</v>
      </c>
      <c r="B199" t="s">
        <v>24</v>
      </c>
      <c r="C199" t="s">
        <v>9</v>
      </c>
      <c r="D199" t="s">
        <v>10</v>
      </c>
      <c r="E199">
        <v>13</v>
      </c>
      <c r="F199" s="3">
        <v>17719</v>
      </c>
      <c r="G199" t="s">
        <v>11</v>
      </c>
      <c r="H199" t="s">
        <v>43</v>
      </c>
    </row>
    <row r="200" spans="1:8" x14ac:dyDescent="0.25">
      <c r="A200" s="1">
        <v>45375</v>
      </c>
      <c r="B200" t="s">
        <v>48</v>
      </c>
      <c r="C200" t="s">
        <v>35</v>
      </c>
      <c r="D200" t="s">
        <v>36</v>
      </c>
      <c r="E200">
        <v>4</v>
      </c>
      <c r="F200" s="3">
        <v>4388</v>
      </c>
      <c r="G200" t="s">
        <v>16</v>
      </c>
      <c r="H200" t="s">
        <v>43</v>
      </c>
    </row>
    <row r="201" spans="1:8" x14ac:dyDescent="0.25">
      <c r="A201" s="1">
        <v>45684</v>
      </c>
      <c r="B201" t="s">
        <v>29</v>
      </c>
      <c r="C201" t="s">
        <v>25</v>
      </c>
      <c r="D201" t="s">
        <v>26</v>
      </c>
      <c r="E201">
        <v>13</v>
      </c>
      <c r="F201" s="3">
        <v>1183</v>
      </c>
      <c r="G201" t="s">
        <v>11</v>
      </c>
      <c r="H201" t="s">
        <v>23</v>
      </c>
    </row>
    <row r="202" spans="1:8" x14ac:dyDescent="0.25">
      <c r="A202" s="1">
        <v>46013</v>
      </c>
      <c r="B202" t="s">
        <v>42</v>
      </c>
      <c r="C202" t="s">
        <v>30</v>
      </c>
      <c r="D202" t="s">
        <v>15</v>
      </c>
      <c r="E202">
        <v>12</v>
      </c>
      <c r="F202" s="3">
        <v>22344</v>
      </c>
      <c r="G202" t="s">
        <v>39</v>
      </c>
      <c r="H202" t="s">
        <v>43</v>
      </c>
    </row>
    <row r="203" spans="1:8" x14ac:dyDescent="0.25">
      <c r="A203" s="1">
        <v>45620</v>
      </c>
      <c r="B203" t="s">
        <v>8</v>
      </c>
      <c r="C203" t="s">
        <v>14</v>
      </c>
      <c r="D203" t="s">
        <v>15</v>
      </c>
      <c r="E203">
        <v>6</v>
      </c>
      <c r="F203" s="3">
        <v>3144</v>
      </c>
      <c r="G203" t="s">
        <v>31</v>
      </c>
      <c r="H203" t="s">
        <v>34</v>
      </c>
    </row>
    <row r="204" spans="1:8" x14ac:dyDescent="0.25">
      <c r="A204" s="1">
        <v>45286</v>
      </c>
      <c r="B204" t="s">
        <v>42</v>
      </c>
      <c r="C204" t="s">
        <v>9</v>
      </c>
      <c r="D204" t="s">
        <v>10</v>
      </c>
      <c r="E204">
        <v>10</v>
      </c>
      <c r="F204" s="3">
        <v>9950</v>
      </c>
      <c r="G204" t="s">
        <v>11</v>
      </c>
      <c r="H204" t="s">
        <v>17</v>
      </c>
    </row>
    <row r="205" spans="1:8" x14ac:dyDescent="0.25">
      <c r="A205" s="1">
        <v>45585</v>
      </c>
      <c r="B205" t="s">
        <v>33</v>
      </c>
      <c r="C205" t="s">
        <v>41</v>
      </c>
      <c r="D205" t="s">
        <v>26</v>
      </c>
      <c r="E205">
        <v>3</v>
      </c>
      <c r="F205" s="3">
        <v>1191</v>
      </c>
      <c r="G205" t="s">
        <v>16</v>
      </c>
      <c r="H205" t="s">
        <v>23</v>
      </c>
    </row>
    <row r="206" spans="1:8" x14ac:dyDescent="0.25">
      <c r="A206" s="1">
        <v>45389</v>
      </c>
      <c r="B206" t="s">
        <v>40</v>
      </c>
      <c r="C206" t="s">
        <v>30</v>
      </c>
      <c r="D206" t="s">
        <v>15</v>
      </c>
      <c r="E206">
        <v>7</v>
      </c>
      <c r="F206" s="3">
        <v>2849</v>
      </c>
      <c r="G206" t="s">
        <v>39</v>
      </c>
      <c r="H206" t="s">
        <v>28</v>
      </c>
    </row>
    <row r="207" spans="1:8" x14ac:dyDescent="0.25">
      <c r="A207" s="1">
        <v>45045</v>
      </c>
      <c r="B207" t="s">
        <v>40</v>
      </c>
      <c r="C207" t="s">
        <v>44</v>
      </c>
      <c r="D207" t="s">
        <v>45</v>
      </c>
      <c r="E207">
        <v>19</v>
      </c>
      <c r="F207" s="3">
        <v>29279</v>
      </c>
      <c r="G207" t="s">
        <v>31</v>
      </c>
      <c r="H207" t="s">
        <v>12</v>
      </c>
    </row>
    <row r="208" spans="1:8" x14ac:dyDescent="0.25">
      <c r="A208" s="1">
        <v>46010</v>
      </c>
      <c r="B208" t="s">
        <v>42</v>
      </c>
      <c r="C208" t="s">
        <v>9</v>
      </c>
      <c r="D208" t="s">
        <v>10</v>
      </c>
      <c r="E208">
        <v>17</v>
      </c>
      <c r="F208" s="3">
        <v>5576</v>
      </c>
      <c r="G208" t="s">
        <v>11</v>
      </c>
      <c r="H208" t="s">
        <v>23</v>
      </c>
    </row>
    <row r="209" spans="1:8" x14ac:dyDescent="0.25">
      <c r="A209" s="1">
        <v>45236</v>
      </c>
      <c r="B209" t="s">
        <v>8</v>
      </c>
      <c r="C209" t="s">
        <v>25</v>
      </c>
      <c r="D209" t="s">
        <v>26</v>
      </c>
      <c r="E209">
        <v>10</v>
      </c>
      <c r="F209" s="3">
        <v>12160</v>
      </c>
      <c r="G209" t="s">
        <v>16</v>
      </c>
      <c r="H209" t="s">
        <v>23</v>
      </c>
    </row>
    <row r="210" spans="1:8" x14ac:dyDescent="0.25">
      <c r="A210" s="1">
        <v>45849</v>
      </c>
      <c r="B210" t="s">
        <v>20</v>
      </c>
      <c r="C210" t="s">
        <v>21</v>
      </c>
      <c r="D210" t="s">
        <v>22</v>
      </c>
      <c r="E210">
        <v>4</v>
      </c>
      <c r="F210" s="3">
        <v>7276</v>
      </c>
      <c r="G210" t="s">
        <v>39</v>
      </c>
      <c r="H210" t="s">
        <v>32</v>
      </c>
    </row>
    <row r="211" spans="1:8" x14ac:dyDescent="0.25">
      <c r="A211" s="1">
        <v>45520</v>
      </c>
      <c r="B211" t="s">
        <v>46</v>
      </c>
      <c r="C211" t="s">
        <v>25</v>
      </c>
      <c r="D211" t="s">
        <v>26</v>
      </c>
      <c r="E211">
        <v>10</v>
      </c>
      <c r="F211" s="3">
        <v>16200</v>
      </c>
      <c r="G211" t="s">
        <v>27</v>
      </c>
      <c r="H211" t="s">
        <v>17</v>
      </c>
    </row>
    <row r="212" spans="1:8" x14ac:dyDescent="0.25">
      <c r="A212" s="1">
        <v>45714</v>
      </c>
      <c r="B212" t="s">
        <v>47</v>
      </c>
      <c r="C212" t="s">
        <v>9</v>
      </c>
      <c r="D212" t="s">
        <v>10</v>
      </c>
      <c r="E212">
        <v>5</v>
      </c>
      <c r="F212" s="3">
        <v>1545</v>
      </c>
      <c r="G212" t="s">
        <v>39</v>
      </c>
      <c r="H212" t="s">
        <v>17</v>
      </c>
    </row>
    <row r="213" spans="1:8" x14ac:dyDescent="0.25">
      <c r="A213" s="1">
        <v>45676</v>
      </c>
      <c r="B213" t="s">
        <v>29</v>
      </c>
      <c r="C213" t="s">
        <v>35</v>
      </c>
      <c r="D213" t="s">
        <v>36</v>
      </c>
      <c r="E213">
        <v>19</v>
      </c>
      <c r="F213" s="3">
        <v>16264</v>
      </c>
      <c r="G213" t="s">
        <v>16</v>
      </c>
      <c r="H213" t="s">
        <v>28</v>
      </c>
    </row>
    <row r="214" spans="1:8" x14ac:dyDescent="0.25">
      <c r="A214" s="1">
        <v>45496</v>
      </c>
      <c r="B214" t="s">
        <v>20</v>
      </c>
      <c r="C214" t="s">
        <v>38</v>
      </c>
      <c r="D214" t="s">
        <v>22</v>
      </c>
      <c r="E214">
        <v>12</v>
      </c>
      <c r="F214" s="3">
        <v>21336</v>
      </c>
      <c r="G214" t="s">
        <v>27</v>
      </c>
      <c r="H214" t="s">
        <v>12</v>
      </c>
    </row>
    <row r="215" spans="1:8" x14ac:dyDescent="0.25">
      <c r="A215" s="1">
        <v>45315</v>
      </c>
      <c r="B215" t="s">
        <v>29</v>
      </c>
      <c r="C215" t="s">
        <v>14</v>
      </c>
      <c r="D215" t="s">
        <v>15</v>
      </c>
      <c r="E215">
        <v>4</v>
      </c>
      <c r="F215" s="3">
        <v>4636</v>
      </c>
      <c r="G215" t="s">
        <v>39</v>
      </c>
      <c r="H215" t="s">
        <v>12</v>
      </c>
    </row>
    <row r="216" spans="1:8" x14ac:dyDescent="0.25">
      <c r="A216" s="1">
        <v>45867</v>
      </c>
      <c r="B216" t="s">
        <v>20</v>
      </c>
      <c r="C216" t="s">
        <v>21</v>
      </c>
      <c r="D216" t="s">
        <v>22</v>
      </c>
      <c r="E216">
        <v>10</v>
      </c>
      <c r="F216" s="3">
        <v>3700</v>
      </c>
      <c r="G216" t="s">
        <v>39</v>
      </c>
      <c r="H216" t="s">
        <v>19</v>
      </c>
    </row>
    <row r="217" spans="1:8" x14ac:dyDescent="0.25">
      <c r="A217" s="1">
        <v>45091</v>
      </c>
      <c r="B217" t="s">
        <v>18</v>
      </c>
      <c r="C217" t="s">
        <v>30</v>
      </c>
      <c r="D217" t="s">
        <v>15</v>
      </c>
      <c r="E217">
        <v>19</v>
      </c>
      <c r="F217" s="3">
        <v>24586</v>
      </c>
      <c r="G217" t="s">
        <v>11</v>
      </c>
      <c r="H217" t="s">
        <v>23</v>
      </c>
    </row>
    <row r="218" spans="1:8" x14ac:dyDescent="0.25">
      <c r="A218" s="1">
        <v>45511</v>
      </c>
      <c r="B218" t="s">
        <v>46</v>
      </c>
      <c r="C218" t="s">
        <v>41</v>
      </c>
      <c r="D218" t="s">
        <v>26</v>
      </c>
      <c r="E218">
        <v>16</v>
      </c>
      <c r="F218" s="3">
        <v>15024</v>
      </c>
      <c r="G218" t="s">
        <v>16</v>
      </c>
      <c r="H218" t="s">
        <v>23</v>
      </c>
    </row>
    <row r="219" spans="1:8" x14ac:dyDescent="0.25">
      <c r="A219" s="1">
        <v>45433</v>
      </c>
      <c r="B219" t="s">
        <v>13</v>
      </c>
      <c r="C219" t="s">
        <v>9</v>
      </c>
      <c r="D219" t="s">
        <v>10</v>
      </c>
      <c r="E219">
        <v>15</v>
      </c>
      <c r="F219" s="3">
        <v>28680</v>
      </c>
      <c r="G219" t="s">
        <v>31</v>
      </c>
      <c r="H219" t="s">
        <v>19</v>
      </c>
    </row>
    <row r="220" spans="1:8" x14ac:dyDescent="0.25">
      <c r="A220" s="1">
        <v>45308</v>
      </c>
      <c r="B220" t="s">
        <v>29</v>
      </c>
      <c r="C220" t="s">
        <v>21</v>
      </c>
      <c r="D220" t="s">
        <v>22</v>
      </c>
      <c r="E220">
        <v>5</v>
      </c>
      <c r="F220" s="3">
        <v>915</v>
      </c>
      <c r="G220" t="s">
        <v>39</v>
      </c>
      <c r="H220" t="s">
        <v>43</v>
      </c>
    </row>
    <row r="221" spans="1:8" x14ac:dyDescent="0.25">
      <c r="A221" s="1">
        <v>45807</v>
      </c>
      <c r="B221" t="s">
        <v>13</v>
      </c>
      <c r="C221" t="s">
        <v>25</v>
      </c>
      <c r="D221" t="s">
        <v>26</v>
      </c>
      <c r="E221">
        <v>13</v>
      </c>
      <c r="F221" s="3">
        <v>1716</v>
      </c>
      <c r="G221" t="s">
        <v>16</v>
      </c>
      <c r="H221" t="s">
        <v>12</v>
      </c>
    </row>
    <row r="222" spans="1:8" x14ac:dyDescent="0.25">
      <c r="A222" s="1">
        <v>44984</v>
      </c>
      <c r="B222" t="s">
        <v>47</v>
      </c>
      <c r="C222" t="s">
        <v>35</v>
      </c>
      <c r="D222" t="s">
        <v>36</v>
      </c>
      <c r="E222">
        <v>4</v>
      </c>
      <c r="F222" s="3">
        <v>6020</v>
      </c>
      <c r="G222" t="s">
        <v>27</v>
      </c>
      <c r="H222" t="s">
        <v>23</v>
      </c>
    </row>
    <row r="223" spans="1:8" x14ac:dyDescent="0.25">
      <c r="A223" s="1">
        <v>45645</v>
      </c>
      <c r="B223" t="s">
        <v>42</v>
      </c>
      <c r="C223" t="s">
        <v>21</v>
      </c>
      <c r="D223" t="s">
        <v>22</v>
      </c>
      <c r="E223">
        <v>19</v>
      </c>
      <c r="F223" s="3">
        <v>23028</v>
      </c>
      <c r="G223" t="s">
        <v>31</v>
      </c>
      <c r="H223" t="s">
        <v>23</v>
      </c>
    </row>
    <row r="224" spans="1:8" x14ac:dyDescent="0.25">
      <c r="A224" s="1">
        <v>45580</v>
      </c>
      <c r="B224" t="s">
        <v>33</v>
      </c>
      <c r="C224" t="s">
        <v>21</v>
      </c>
      <c r="D224" t="s">
        <v>22</v>
      </c>
      <c r="E224">
        <v>15</v>
      </c>
      <c r="F224" s="3">
        <v>17925</v>
      </c>
      <c r="G224" t="s">
        <v>27</v>
      </c>
      <c r="H224" t="s">
        <v>34</v>
      </c>
    </row>
    <row r="225" spans="1:8" x14ac:dyDescent="0.25">
      <c r="A225" s="1">
        <v>45284</v>
      </c>
      <c r="B225" t="s">
        <v>42</v>
      </c>
      <c r="C225" t="s">
        <v>35</v>
      </c>
      <c r="D225" t="s">
        <v>36</v>
      </c>
      <c r="E225">
        <v>5</v>
      </c>
      <c r="F225" s="3">
        <v>6660</v>
      </c>
      <c r="G225" t="s">
        <v>31</v>
      </c>
      <c r="H225" t="s">
        <v>12</v>
      </c>
    </row>
    <row r="226" spans="1:8" x14ac:dyDescent="0.25">
      <c r="A226" s="1">
        <v>45515</v>
      </c>
      <c r="B226" t="s">
        <v>46</v>
      </c>
      <c r="C226" t="s">
        <v>41</v>
      </c>
      <c r="D226" t="s">
        <v>26</v>
      </c>
      <c r="E226">
        <v>14</v>
      </c>
      <c r="F226" s="3">
        <v>18158</v>
      </c>
      <c r="G226" t="s">
        <v>31</v>
      </c>
      <c r="H226" t="s">
        <v>34</v>
      </c>
    </row>
    <row r="227" spans="1:8" x14ac:dyDescent="0.25">
      <c r="A227" s="1">
        <v>45463</v>
      </c>
      <c r="B227" t="s">
        <v>18</v>
      </c>
      <c r="C227" t="s">
        <v>41</v>
      </c>
      <c r="D227" t="s">
        <v>26</v>
      </c>
      <c r="E227">
        <v>1</v>
      </c>
      <c r="F227" s="3">
        <v>1528</v>
      </c>
      <c r="G227" t="s">
        <v>27</v>
      </c>
      <c r="H227" t="s">
        <v>43</v>
      </c>
    </row>
    <row r="228" spans="1:8" x14ac:dyDescent="0.25">
      <c r="A228" s="1">
        <v>45559</v>
      </c>
      <c r="B228" t="s">
        <v>24</v>
      </c>
      <c r="C228" t="s">
        <v>30</v>
      </c>
      <c r="D228" t="s">
        <v>15</v>
      </c>
      <c r="E228">
        <v>7</v>
      </c>
      <c r="F228" s="3">
        <v>1694</v>
      </c>
      <c r="G228" t="s">
        <v>16</v>
      </c>
      <c r="H228" t="s">
        <v>19</v>
      </c>
    </row>
    <row r="229" spans="1:8" x14ac:dyDescent="0.25">
      <c r="A229" s="1">
        <v>45967</v>
      </c>
      <c r="B229" t="s">
        <v>8</v>
      </c>
      <c r="C229" t="s">
        <v>35</v>
      </c>
      <c r="D229" t="s">
        <v>36</v>
      </c>
      <c r="E229">
        <v>6</v>
      </c>
      <c r="F229" s="3">
        <v>6582</v>
      </c>
      <c r="G229" t="s">
        <v>31</v>
      </c>
      <c r="H229" t="s">
        <v>34</v>
      </c>
    </row>
    <row r="230" spans="1:8" x14ac:dyDescent="0.25">
      <c r="A230" s="1">
        <v>45621</v>
      </c>
      <c r="B230" t="s">
        <v>8</v>
      </c>
      <c r="C230" t="s">
        <v>25</v>
      </c>
      <c r="D230" t="s">
        <v>26</v>
      </c>
      <c r="E230">
        <v>19</v>
      </c>
      <c r="F230" s="3">
        <v>24472</v>
      </c>
      <c r="G230" t="s">
        <v>39</v>
      </c>
      <c r="H230" t="s">
        <v>28</v>
      </c>
    </row>
    <row r="231" spans="1:8" x14ac:dyDescent="0.25">
      <c r="A231" s="1">
        <v>45928</v>
      </c>
      <c r="B231" t="s">
        <v>24</v>
      </c>
      <c r="C231" t="s">
        <v>9</v>
      </c>
      <c r="D231" t="s">
        <v>10</v>
      </c>
      <c r="E231">
        <v>14</v>
      </c>
      <c r="F231" s="3">
        <v>19152</v>
      </c>
      <c r="G231" t="s">
        <v>39</v>
      </c>
      <c r="H231" t="s">
        <v>19</v>
      </c>
    </row>
    <row r="232" spans="1:8" x14ac:dyDescent="0.25">
      <c r="A232" s="1">
        <v>45318</v>
      </c>
      <c r="B232" t="s">
        <v>29</v>
      </c>
      <c r="C232" t="s">
        <v>37</v>
      </c>
      <c r="D232" t="s">
        <v>15</v>
      </c>
      <c r="E232">
        <v>5</v>
      </c>
      <c r="F232" s="3">
        <v>480</v>
      </c>
      <c r="G232" t="s">
        <v>39</v>
      </c>
      <c r="H232" t="s">
        <v>32</v>
      </c>
    </row>
    <row r="233" spans="1:8" x14ac:dyDescent="0.25">
      <c r="A233" s="1">
        <v>45601</v>
      </c>
      <c r="B233" t="s">
        <v>8</v>
      </c>
      <c r="C233" t="s">
        <v>30</v>
      </c>
      <c r="D233" t="s">
        <v>15</v>
      </c>
      <c r="E233">
        <v>7</v>
      </c>
      <c r="F233" s="3">
        <v>5383</v>
      </c>
      <c r="G233" t="s">
        <v>11</v>
      </c>
      <c r="H233" t="s">
        <v>28</v>
      </c>
    </row>
    <row r="234" spans="1:8" x14ac:dyDescent="0.25">
      <c r="A234" s="1">
        <v>46002</v>
      </c>
      <c r="B234" t="s">
        <v>42</v>
      </c>
      <c r="C234" t="s">
        <v>41</v>
      </c>
      <c r="D234" t="s">
        <v>26</v>
      </c>
      <c r="E234">
        <v>13</v>
      </c>
      <c r="F234" s="3">
        <v>8619</v>
      </c>
      <c r="G234" t="s">
        <v>16</v>
      </c>
      <c r="H234" t="s">
        <v>32</v>
      </c>
    </row>
    <row r="235" spans="1:8" x14ac:dyDescent="0.25">
      <c r="A235" s="1">
        <v>45571</v>
      </c>
      <c r="B235" t="s">
        <v>33</v>
      </c>
      <c r="C235" t="s">
        <v>41</v>
      </c>
      <c r="D235" t="s">
        <v>26</v>
      </c>
      <c r="E235">
        <v>2</v>
      </c>
      <c r="F235" s="3">
        <v>970</v>
      </c>
      <c r="G235" t="s">
        <v>27</v>
      </c>
      <c r="H235" t="s">
        <v>17</v>
      </c>
    </row>
    <row r="236" spans="1:8" x14ac:dyDescent="0.25">
      <c r="A236" s="1">
        <v>45796</v>
      </c>
      <c r="B236" t="s">
        <v>13</v>
      </c>
      <c r="C236" t="s">
        <v>35</v>
      </c>
      <c r="D236" t="s">
        <v>36</v>
      </c>
      <c r="E236">
        <v>15</v>
      </c>
      <c r="F236" s="3">
        <v>25620</v>
      </c>
      <c r="G236" t="s">
        <v>27</v>
      </c>
      <c r="H236" t="s">
        <v>32</v>
      </c>
    </row>
    <row r="237" spans="1:8" x14ac:dyDescent="0.25">
      <c r="A237" s="1">
        <v>45047</v>
      </c>
      <c r="B237" t="s">
        <v>13</v>
      </c>
      <c r="C237" t="s">
        <v>44</v>
      </c>
      <c r="D237" t="s">
        <v>45</v>
      </c>
      <c r="E237">
        <v>15</v>
      </c>
      <c r="F237" s="3">
        <v>7770</v>
      </c>
      <c r="G237" t="s">
        <v>39</v>
      </c>
      <c r="H237" t="s">
        <v>32</v>
      </c>
    </row>
    <row r="238" spans="1:8" x14ac:dyDescent="0.25">
      <c r="A238" s="1">
        <v>45633</v>
      </c>
      <c r="B238" t="s">
        <v>42</v>
      </c>
      <c r="C238" t="s">
        <v>44</v>
      </c>
      <c r="D238" t="s">
        <v>45</v>
      </c>
      <c r="E238">
        <v>2</v>
      </c>
      <c r="F238" s="3">
        <v>2838</v>
      </c>
      <c r="G238" t="s">
        <v>27</v>
      </c>
      <c r="H238" t="s">
        <v>17</v>
      </c>
    </row>
    <row r="239" spans="1:8" x14ac:dyDescent="0.25">
      <c r="A239" s="1">
        <v>44981</v>
      </c>
      <c r="B239" t="s">
        <v>47</v>
      </c>
      <c r="C239" t="s">
        <v>44</v>
      </c>
      <c r="D239" t="s">
        <v>45</v>
      </c>
      <c r="E239">
        <v>6</v>
      </c>
      <c r="F239" s="3">
        <v>4842</v>
      </c>
      <c r="G239" t="s">
        <v>16</v>
      </c>
      <c r="H239" t="s">
        <v>34</v>
      </c>
    </row>
    <row r="240" spans="1:8" x14ac:dyDescent="0.25">
      <c r="A240" s="1">
        <v>45920</v>
      </c>
      <c r="B240" t="s">
        <v>24</v>
      </c>
      <c r="C240" t="s">
        <v>21</v>
      </c>
      <c r="D240" t="s">
        <v>22</v>
      </c>
      <c r="E240">
        <v>19</v>
      </c>
      <c r="F240" s="3">
        <v>28614</v>
      </c>
      <c r="G240" t="s">
        <v>39</v>
      </c>
      <c r="H240" t="s">
        <v>23</v>
      </c>
    </row>
    <row r="241" spans="1:8" x14ac:dyDescent="0.25">
      <c r="A241" s="1">
        <v>45453</v>
      </c>
      <c r="B241" t="s">
        <v>18</v>
      </c>
      <c r="C241" t="s">
        <v>25</v>
      </c>
      <c r="D241" t="s">
        <v>26</v>
      </c>
      <c r="E241">
        <v>4</v>
      </c>
      <c r="F241" s="3">
        <v>2492</v>
      </c>
      <c r="G241" t="s">
        <v>31</v>
      </c>
      <c r="H241" t="s">
        <v>34</v>
      </c>
    </row>
    <row r="242" spans="1:8" x14ac:dyDescent="0.25">
      <c r="A242" s="1">
        <v>45992</v>
      </c>
      <c r="B242" t="s">
        <v>42</v>
      </c>
      <c r="C242" t="s">
        <v>41</v>
      </c>
      <c r="D242" t="s">
        <v>26</v>
      </c>
      <c r="E242">
        <v>16</v>
      </c>
      <c r="F242" s="3">
        <v>25104</v>
      </c>
      <c r="G242" t="s">
        <v>27</v>
      </c>
      <c r="H242" t="s">
        <v>17</v>
      </c>
    </row>
    <row r="243" spans="1:8" x14ac:dyDescent="0.25">
      <c r="A243" s="1">
        <v>45928</v>
      </c>
      <c r="B243" t="s">
        <v>24</v>
      </c>
      <c r="C243" t="s">
        <v>30</v>
      </c>
      <c r="D243" t="s">
        <v>15</v>
      </c>
      <c r="E243">
        <v>4</v>
      </c>
      <c r="F243" s="3">
        <v>6432</v>
      </c>
      <c r="G243" t="s">
        <v>11</v>
      </c>
      <c r="H243" t="s">
        <v>23</v>
      </c>
    </row>
    <row r="244" spans="1:8" x14ac:dyDescent="0.25">
      <c r="A244" s="1">
        <v>45083</v>
      </c>
      <c r="B244" t="s">
        <v>18</v>
      </c>
      <c r="C244" t="s">
        <v>38</v>
      </c>
      <c r="D244" t="s">
        <v>22</v>
      </c>
      <c r="E244">
        <v>2</v>
      </c>
      <c r="F244" s="3">
        <v>3514</v>
      </c>
      <c r="G244" t="s">
        <v>11</v>
      </c>
      <c r="H244" t="s">
        <v>23</v>
      </c>
    </row>
    <row r="245" spans="1:8" x14ac:dyDescent="0.25">
      <c r="A245" s="1">
        <v>45660</v>
      </c>
      <c r="B245" t="s">
        <v>29</v>
      </c>
      <c r="C245" t="s">
        <v>21</v>
      </c>
      <c r="D245" t="s">
        <v>22</v>
      </c>
      <c r="E245">
        <v>19</v>
      </c>
      <c r="F245" s="3">
        <v>8626</v>
      </c>
      <c r="G245" t="s">
        <v>11</v>
      </c>
      <c r="H245" t="s">
        <v>34</v>
      </c>
    </row>
    <row r="246" spans="1:8" x14ac:dyDescent="0.25">
      <c r="A246" s="1">
        <v>45243</v>
      </c>
      <c r="B246" t="s">
        <v>8</v>
      </c>
      <c r="C246" t="s">
        <v>21</v>
      </c>
      <c r="D246" t="s">
        <v>22</v>
      </c>
      <c r="E246">
        <v>19</v>
      </c>
      <c r="F246" s="3">
        <v>32965</v>
      </c>
      <c r="G246" t="s">
        <v>31</v>
      </c>
      <c r="H246" t="s">
        <v>43</v>
      </c>
    </row>
    <row r="247" spans="1:8" x14ac:dyDescent="0.25">
      <c r="A247" s="1">
        <v>45049</v>
      </c>
      <c r="B247" t="s">
        <v>13</v>
      </c>
      <c r="C247" t="s">
        <v>14</v>
      </c>
      <c r="D247" t="s">
        <v>15</v>
      </c>
      <c r="E247">
        <v>15</v>
      </c>
      <c r="F247" s="3">
        <v>6750</v>
      </c>
      <c r="G247" t="s">
        <v>11</v>
      </c>
      <c r="H247" t="s">
        <v>19</v>
      </c>
    </row>
    <row r="248" spans="1:8" x14ac:dyDescent="0.25">
      <c r="A248" s="1">
        <v>45727</v>
      </c>
      <c r="B248" t="s">
        <v>48</v>
      </c>
      <c r="C248" t="s">
        <v>35</v>
      </c>
      <c r="D248" t="s">
        <v>36</v>
      </c>
      <c r="E248">
        <v>17</v>
      </c>
      <c r="F248" s="3">
        <v>32844</v>
      </c>
      <c r="G248" t="s">
        <v>27</v>
      </c>
      <c r="H248" t="s">
        <v>17</v>
      </c>
    </row>
    <row r="249" spans="1:8" x14ac:dyDescent="0.25">
      <c r="A249" s="1">
        <v>45796</v>
      </c>
      <c r="B249" t="s">
        <v>13</v>
      </c>
      <c r="C249" t="s">
        <v>9</v>
      </c>
      <c r="D249" t="s">
        <v>10</v>
      </c>
      <c r="E249">
        <v>4</v>
      </c>
      <c r="F249" s="3">
        <v>6168</v>
      </c>
      <c r="G249" t="s">
        <v>39</v>
      </c>
      <c r="H249" t="s">
        <v>28</v>
      </c>
    </row>
    <row r="250" spans="1:8" x14ac:dyDescent="0.25">
      <c r="A250" s="1">
        <v>45412</v>
      </c>
      <c r="B250" t="s">
        <v>40</v>
      </c>
      <c r="C250" t="s">
        <v>9</v>
      </c>
      <c r="D250" t="s">
        <v>10</v>
      </c>
      <c r="E250">
        <v>20</v>
      </c>
      <c r="F250" s="3">
        <v>6720</v>
      </c>
      <c r="G250" t="s">
        <v>31</v>
      </c>
      <c r="H250" t="s">
        <v>34</v>
      </c>
    </row>
    <row r="251" spans="1:8" x14ac:dyDescent="0.25">
      <c r="A251" s="1">
        <v>45138</v>
      </c>
      <c r="B251" t="s">
        <v>20</v>
      </c>
      <c r="C251" t="s">
        <v>14</v>
      </c>
      <c r="D251" t="s">
        <v>15</v>
      </c>
      <c r="E251">
        <v>16</v>
      </c>
      <c r="F251" s="3">
        <v>12400</v>
      </c>
      <c r="G251" t="s">
        <v>16</v>
      </c>
      <c r="H251" t="s">
        <v>32</v>
      </c>
    </row>
    <row r="252" spans="1:8" x14ac:dyDescent="0.25">
      <c r="A252" s="1">
        <v>44938</v>
      </c>
      <c r="B252" t="s">
        <v>29</v>
      </c>
      <c r="C252" t="s">
        <v>25</v>
      </c>
      <c r="D252" t="s">
        <v>26</v>
      </c>
      <c r="E252">
        <v>13</v>
      </c>
      <c r="F252" s="3">
        <v>10686</v>
      </c>
      <c r="G252" t="s">
        <v>39</v>
      </c>
      <c r="H252" t="s">
        <v>32</v>
      </c>
    </row>
    <row r="253" spans="1:8" x14ac:dyDescent="0.25">
      <c r="A253" s="1">
        <v>45991</v>
      </c>
      <c r="B253" t="s">
        <v>8</v>
      </c>
      <c r="C253" t="s">
        <v>37</v>
      </c>
      <c r="D253" t="s">
        <v>15</v>
      </c>
      <c r="E253">
        <v>13</v>
      </c>
      <c r="F253" s="3">
        <v>25948</v>
      </c>
      <c r="G253" t="s">
        <v>39</v>
      </c>
      <c r="H253" t="s">
        <v>23</v>
      </c>
    </row>
    <row r="254" spans="1:8" x14ac:dyDescent="0.25">
      <c r="A254" s="1">
        <v>45527</v>
      </c>
      <c r="B254" t="s">
        <v>46</v>
      </c>
      <c r="C254" t="s">
        <v>9</v>
      </c>
      <c r="D254" t="s">
        <v>10</v>
      </c>
      <c r="E254">
        <v>18</v>
      </c>
      <c r="F254" s="3">
        <v>12240</v>
      </c>
      <c r="G254" t="s">
        <v>27</v>
      </c>
      <c r="H254" t="s">
        <v>34</v>
      </c>
    </row>
    <row r="255" spans="1:8" x14ac:dyDescent="0.25">
      <c r="A255" s="1">
        <v>45347</v>
      </c>
      <c r="B255" t="s">
        <v>47</v>
      </c>
      <c r="C255" t="s">
        <v>37</v>
      </c>
      <c r="D255" t="s">
        <v>15</v>
      </c>
      <c r="E255">
        <v>19</v>
      </c>
      <c r="F255" s="3">
        <v>12065</v>
      </c>
      <c r="G255" t="s">
        <v>11</v>
      </c>
      <c r="H255" t="s">
        <v>28</v>
      </c>
    </row>
    <row r="256" spans="1:8" x14ac:dyDescent="0.25">
      <c r="A256" s="1">
        <v>45062</v>
      </c>
      <c r="B256" t="s">
        <v>13</v>
      </c>
      <c r="C256" t="s">
        <v>41</v>
      </c>
      <c r="D256" t="s">
        <v>26</v>
      </c>
      <c r="E256">
        <v>12</v>
      </c>
      <c r="F256" s="3">
        <v>3324</v>
      </c>
      <c r="G256" t="s">
        <v>27</v>
      </c>
      <c r="H256" t="s">
        <v>28</v>
      </c>
    </row>
    <row r="257" spans="1:8" x14ac:dyDescent="0.25">
      <c r="A257" s="1">
        <v>45191</v>
      </c>
      <c r="B257" t="s">
        <v>24</v>
      </c>
      <c r="C257" t="s">
        <v>30</v>
      </c>
      <c r="D257" t="s">
        <v>15</v>
      </c>
      <c r="E257">
        <v>6</v>
      </c>
      <c r="F257" s="3">
        <v>5994</v>
      </c>
      <c r="G257" t="s">
        <v>11</v>
      </c>
      <c r="H257" t="s">
        <v>34</v>
      </c>
    </row>
    <row r="258" spans="1:8" x14ac:dyDescent="0.25">
      <c r="A258" s="1">
        <v>45698</v>
      </c>
      <c r="B258" t="s">
        <v>47</v>
      </c>
      <c r="C258" t="s">
        <v>35</v>
      </c>
      <c r="D258" t="s">
        <v>36</v>
      </c>
      <c r="E258">
        <v>8</v>
      </c>
      <c r="F258" s="3">
        <v>4448</v>
      </c>
      <c r="G258" t="s">
        <v>27</v>
      </c>
      <c r="H258" t="s">
        <v>28</v>
      </c>
    </row>
    <row r="259" spans="1:8" x14ac:dyDescent="0.25">
      <c r="A259" s="1">
        <v>45367</v>
      </c>
      <c r="B259" t="s">
        <v>48</v>
      </c>
      <c r="C259" t="s">
        <v>14</v>
      </c>
      <c r="D259" t="s">
        <v>15</v>
      </c>
      <c r="E259">
        <v>12</v>
      </c>
      <c r="F259" s="3">
        <v>19836</v>
      </c>
      <c r="G259" t="s">
        <v>31</v>
      </c>
      <c r="H259" t="s">
        <v>32</v>
      </c>
    </row>
    <row r="260" spans="1:8" x14ac:dyDescent="0.25">
      <c r="A260" s="1">
        <v>45888</v>
      </c>
      <c r="B260" t="s">
        <v>46</v>
      </c>
      <c r="C260" t="s">
        <v>35</v>
      </c>
      <c r="D260" t="s">
        <v>36</v>
      </c>
      <c r="E260">
        <v>2</v>
      </c>
      <c r="F260" s="3">
        <v>1160</v>
      </c>
      <c r="G260" t="s">
        <v>16</v>
      </c>
      <c r="H260" t="s">
        <v>43</v>
      </c>
    </row>
    <row r="261" spans="1:8" x14ac:dyDescent="0.25">
      <c r="A261" s="1">
        <v>45145</v>
      </c>
      <c r="B261" t="s">
        <v>46</v>
      </c>
      <c r="C261" t="s">
        <v>14</v>
      </c>
      <c r="D261" t="s">
        <v>15</v>
      </c>
      <c r="E261">
        <v>6</v>
      </c>
      <c r="F261" s="3">
        <v>2316</v>
      </c>
      <c r="G261" t="s">
        <v>31</v>
      </c>
      <c r="H261" t="s">
        <v>28</v>
      </c>
    </row>
    <row r="262" spans="1:8" x14ac:dyDescent="0.25">
      <c r="A262" s="1">
        <v>45927</v>
      </c>
      <c r="B262" t="s">
        <v>24</v>
      </c>
      <c r="C262" t="s">
        <v>44</v>
      </c>
      <c r="D262" t="s">
        <v>45</v>
      </c>
      <c r="E262">
        <v>7</v>
      </c>
      <c r="F262" s="3">
        <v>9415</v>
      </c>
      <c r="G262" t="s">
        <v>27</v>
      </c>
      <c r="H262" t="s">
        <v>28</v>
      </c>
    </row>
    <row r="263" spans="1:8" x14ac:dyDescent="0.25">
      <c r="A263" s="1">
        <v>45828</v>
      </c>
      <c r="B263" t="s">
        <v>18</v>
      </c>
      <c r="C263" t="s">
        <v>21</v>
      </c>
      <c r="D263" t="s">
        <v>22</v>
      </c>
      <c r="E263">
        <v>1</v>
      </c>
      <c r="F263" s="3">
        <v>910</v>
      </c>
      <c r="G263" t="s">
        <v>11</v>
      </c>
      <c r="H263" t="s">
        <v>19</v>
      </c>
    </row>
    <row r="264" spans="1:8" x14ac:dyDescent="0.25">
      <c r="A264" s="1">
        <v>45919</v>
      </c>
      <c r="B264" t="s">
        <v>24</v>
      </c>
      <c r="C264" t="s">
        <v>30</v>
      </c>
      <c r="D264" t="s">
        <v>15</v>
      </c>
      <c r="E264">
        <v>19</v>
      </c>
      <c r="F264" s="3">
        <v>11419</v>
      </c>
      <c r="G264" t="s">
        <v>27</v>
      </c>
      <c r="H264" t="s">
        <v>32</v>
      </c>
    </row>
    <row r="265" spans="1:8" x14ac:dyDescent="0.25">
      <c r="A265" s="1">
        <v>45482</v>
      </c>
      <c r="B265" t="s">
        <v>20</v>
      </c>
      <c r="C265" t="s">
        <v>35</v>
      </c>
      <c r="D265" t="s">
        <v>36</v>
      </c>
      <c r="E265">
        <v>12</v>
      </c>
      <c r="F265" s="3">
        <v>7668</v>
      </c>
      <c r="G265" t="s">
        <v>16</v>
      </c>
      <c r="H265" t="s">
        <v>23</v>
      </c>
    </row>
    <row r="266" spans="1:8" x14ac:dyDescent="0.25">
      <c r="A266" s="1">
        <v>45100</v>
      </c>
      <c r="B266" t="s">
        <v>18</v>
      </c>
      <c r="C266" t="s">
        <v>37</v>
      </c>
      <c r="D266" t="s">
        <v>15</v>
      </c>
      <c r="E266">
        <v>18</v>
      </c>
      <c r="F266" s="3">
        <v>19692</v>
      </c>
      <c r="G266" t="s">
        <v>39</v>
      </c>
      <c r="H266" t="s">
        <v>19</v>
      </c>
    </row>
    <row r="267" spans="1:8" x14ac:dyDescent="0.25">
      <c r="A267" s="1">
        <v>45202</v>
      </c>
      <c r="B267" t="s">
        <v>33</v>
      </c>
      <c r="C267" t="s">
        <v>14</v>
      </c>
      <c r="D267" t="s">
        <v>15</v>
      </c>
      <c r="E267">
        <v>5</v>
      </c>
      <c r="F267" s="3">
        <v>4790</v>
      </c>
      <c r="G267" t="s">
        <v>27</v>
      </c>
      <c r="H267" t="s">
        <v>34</v>
      </c>
    </row>
    <row r="268" spans="1:8" x14ac:dyDescent="0.25">
      <c r="A268" s="1">
        <v>45752</v>
      </c>
      <c r="B268" t="s">
        <v>40</v>
      </c>
      <c r="C268" t="s">
        <v>37</v>
      </c>
      <c r="D268" t="s">
        <v>15</v>
      </c>
      <c r="E268">
        <v>5</v>
      </c>
      <c r="F268" s="3">
        <v>385</v>
      </c>
      <c r="G268" t="s">
        <v>27</v>
      </c>
      <c r="H268" t="s">
        <v>19</v>
      </c>
    </row>
    <row r="269" spans="1:8" x14ac:dyDescent="0.25">
      <c r="A269" s="1">
        <v>45540</v>
      </c>
      <c r="B269" t="s">
        <v>24</v>
      </c>
      <c r="C269" t="s">
        <v>44</v>
      </c>
      <c r="D269" t="s">
        <v>45</v>
      </c>
      <c r="E269">
        <v>14</v>
      </c>
      <c r="F269" s="3">
        <v>13832</v>
      </c>
      <c r="G269" t="s">
        <v>16</v>
      </c>
      <c r="H269" t="s">
        <v>32</v>
      </c>
    </row>
    <row r="270" spans="1:8" x14ac:dyDescent="0.25">
      <c r="A270" s="1">
        <v>44971</v>
      </c>
      <c r="B270" t="s">
        <v>47</v>
      </c>
      <c r="C270" t="s">
        <v>35</v>
      </c>
      <c r="D270" t="s">
        <v>36</v>
      </c>
      <c r="E270">
        <v>6</v>
      </c>
      <c r="F270" s="3">
        <v>9516</v>
      </c>
      <c r="G270" t="s">
        <v>31</v>
      </c>
      <c r="H270" t="s">
        <v>32</v>
      </c>
    </row>
    <row r="271" spans="1:8" x14ac:dyDescent="0.25">
      <c r="A271" s="1">
        <v>45156</v>
      </c>
      <c r="B271" t="s">
        <v>46</v>
      </c>
      <c r="C271" t="s">
        <v>38</v>
      </c>
      <c r="D271" t="s">
        <v>22</v>
      </c>
      <c r="E271">
        <v>18</v>
      </c>
      <c r="F271" s="3">
        <v>3438</v>
      </c>
      <c r="G271" t="s">
        <v>11</v>
      </c>
      <c r="H271" t="s">
        <v>34</v>
      </c>
    </row>
    <row r="272" spans="1:8" x14ac:dyDescent="0.25">
      <c r="A272" s="1">
        <v>45527</v>
      </c>
      <c r="B272" t="s">
        <v>46</v>
      </c>
      <c r="C272" t="s">
        <v>30</v>
      </c>
      <c r="D272" t="s">
        <v>15</v>
      </c>
      <c r="E272">
        <v>6</v>
      </c>
      <c r="F272" s="3">
        <v>10884</v>
      </c>
      <c r="G272" t="s">
        <v>31</v>
      </c>
      <c r="H272" t="s">
        <v>28</v>
      </c>
    </row>
    <row r="273" spans="1:8" x14ac:dyDescent="0.25">
      <c r="A273" s="1">
        <v>45745</v>
      </c>
      <c r="B273" t="s">
        <v>48</v>
      </c>
      <c r="C273" t="s">
        <v>44</v>
      </c>
      <c r="D273" t="s">
        <v>45</v>
      </c>
      <c r="E273">
        <v>18</v>
      </c>
      <c r="F273" s="3">
        <v>29484</v>
      </c>
      <c r="G273" t="s">
        <v>31</v>
      </c>
      <c r="H273" t="s">
        <v>34</v>
      </c>
    </row>
    <row r="274" spans="1:8" x14ac:dyDescent="0.25">
      <c r="A274" s="1">
        <v>46008</v>
      </c>
      <c r="B274" t="s">
        <v>42</v>
      </c>
      <c r="C274" t="s">
        <v>21</v>
      </c>
      <c r="D274" t="s">
        <v>22</v>
      </c>
      <c r="E274">
        <v>5</v>
      </c>
      <c r="F274" s="3">
        <v>2430</v>
      </c>
      <c r="G274" t="s">
        <v>27</v>
      </c>
      <c r="H274" t="s">
        <v>19</v>
      </c>
    </row>
    <row r="275" spans="1:8" x14ac:dyDescent="0.25">
      <c r="A275" s="1">
        <v>45058</v>
      </c>
      <c r="B275" t="s">
        <v>13</v>
      </c>
      <c r="C275" t="s">
        <v>9</v>
      </c>
      <c r="D275" t="s">
        <v>10</v>
      </c>
      <c r="E275">
        <v>20</v>
      </c>
      <c r="F275" s="3">
        <v>14220</v>
      </c>
      <c r="G275" t="s">
        <v>31</v>
      </c>
      <c r="H275" t="s">
        <v>34</v>
      </c>
    </row>
    <row r="276" spans="1:8" x14ac:dyDescent="0.25">
      <c r="A276" s="1">
        <v>45201</v>
      </c>
      <c r="B276" t="s">
        <v>33</v>
      </c>
      <c r="C276" t="s">
        <v>9</v>
      </c>
      <c r="D276" t="s">
        <v>10</v>
      </c>
      <c r="E276">
        <v>8</v>
      </c>
      <c r="F276" s="3">
        <v>3520</v>
      </c>
      <c r="G276" t="s">
        <v>31</v>
      </c>
      <c r="H276" t="s">
        <v>34</v>
      </c>
    </row>
    <row r="277" spans="1:8" x14ac:dyDescent="0.25">
      <c r="A277" s="1">
        <v>45284</v>
      </c>
      <c r="B277" t="s">
        <v>42</v>
      </c>
      <c r="C277" t="s">
        <v>30</v>
      </c>
      <c r="D277" t="s">
        <v>15</v>
      </c>
      <c r="E277">
        <v>1</v>
      </c>
      <c r="F277" s="3">
        <v>1676</v>
      </c>
      <c r="G277" t="s">
        <v>11</v>
      </c>
      <c r="H277" t="s">
        <v>17</v>
      </c>
    </row>
    <row r="278" spans="1:8" x14ac:dyDescent="0.25">
      <c r="A278" s="1">
        <v>45240</v>
      </c>
      <c r="B278" t="s">
        <v>8</v>
      </c>
      <c r="C278" t="s">
        <v>14</v>
      </c>
      <c r="D278" t="s">
        <v>15</v>
      </c>
      <c r="E278">
        <v>13</v>
      </c>
      <c r="F278" s="3">
        <v>3952</v>
      </c>
      <c r="G278" t="s">
        <v>11</v>
      </c>
      <c r="H278" t="s">
        <v>19</v>
      </c>
    </row>
    <row r="279" spans="1:8" x14ac:dyDescent="0.25">
      <c r="A279" s="1">
        <v>45572</v>
      </c>
      <c r="B279" t="s">
        <v>33</v>
      </c>
      <c r="C279" t="s">
        <v>30</v>
      </c>
      <c r="D279" t="s">
        <v>15</v>
      </c>
      <c r="E279">
        <v>8</v>
      </c>
      <c r="F279" s="3">
        <v>11464</v>
      </c>
      <c r="G279" t="s">
        <v>27</v>
      </c>
      <c r="H279" t="s">
        <v>19</v>
      </c>
    </row>
    <row r="280" spans="1:8" x14ac:dyDescent="0.25">
      <c r="A280" s="1">
        <v>45392</v>
      </c>
      <c r="B280" t="s">
        <v>40</v>
      </c>
      <c r="C280" t="s">
        <v>35</v>
      </c>
      <c r="D280" t="s">
        <v>36</v>
      </c>
      <c r="E280">
        <v>8</v>
      </c>
      <c r="F280" s="3">
        <v>15344</v>
      </c>
      <c r="G280" t="s">
        <v>16</v>
      </c>
      <c r="H280" t="s">
        <v>34</v>
      </c>
    </row>
    <row r="281" spans="1:8" x14ac:dyDescent="0.25">
      <c r="A281" s="1">
        <v>45148</v>
      </c>
      <c r="B281" t="s">
        <v>46</v>
      </c>
      <c r="C281" t="s">
        <v>41</v>
      </c>
      <c r="D281" t="s">
        <v>26</v>
      </c>
      <c r="E281">
        <v>3</v>
      </c>
      <c r="F281" s="3">
        <v>3477</v>
      </c>
      <c r="G281" t="s">
        <v>11</v>
      </c>
      <c r="H281" t="s">
        <v>32</v>
      </c>
    </row>
    <row r="282" spans="1:8" x14ac:dyDescent="0.25">
      <c r="A282" s="1">
        <v>45490</v>
      </c>
      <c r="B282" t="s">
        <v>20</v>
      </c>
      <c r="C282" t="s">
        <v>41</v>
      </c>
      <c r="D282" t="s">
        <v>26</v>
      </c>
      <c r="E282">
        <v>11</v>
      </c>
      <c r="F282" s="3">
        <v>13750</v>
      </c>
      <c r="G282" t="s">
        <v>27</v>
      </c>
      <c r="H282" t="s">
        <v>43</v>
      </c>
    </row>
    <row r="283" spans="1:8" x14ac:dyDescent="0.25">
      <c r="A283" s="1">
        <v>45689</v>
      </c>
      <c r="B283" t="s">
        <v>47</v>
      </c>
      <c r="C283" t="s">
        <v>9</v>
      </c>
      <c r="D283" t="s">
        <v>10</v>
      </c>
      <c r="E283">
        <v>17</v>
      </c>
      <c r="F283" s="3">
        <v>3570</v>
      </c>
      <c r="G283" t="s">
        <v>27</v>
      </c>
      <c r="H283" t="s">
        <v>34</v>
      </c>
    </row>
    <row r="284" spans="1:8" x14ac:dyDescent="0.25">
      <c r="A284" s="1">
        <v>45274</v>
      </c>
      <c r="B284" t="s">
        <v>42</v>
      </c>
      <c r="C284" t="s">
        <v>21</v>
      </c>
      <c r="D284" t="s">
        <v>22</v>
      </c>
      <c r="E284">
        <v>7</v>
      </c>
      <c r="F284" s="3">
        <v>2331</v>
      </c>
      <c r="G284" t="s">
        <v>16</v>
      </c>
      <c r="H284" t="s">
        <v>19</v>
      </c>
    </row>
    <row r="285" spans="1:8" x14ac:dyDescent="0.25">
      <c r="A285" s="1">
        <v>45158</v>
      </c>
      <c r="B285" t="s">
        <v>46</v>
      </c>
      <c r="C285" t="s">
        <v>37</v>
      </c>
      <c r="D285" t="s">
        <v>15</v>
      </c>
      <c r="E285">
        <v>1</v>
      </c>
      <c r="F285" s="3">
        <v>1574</v>
      </c>
      <c r="G285" t="s">
        <v>11</v>
      </c>
      <c r="H285" t="s">
        <v>28</v>
      </c>
    </row>
    <row r="286" spans="1:8" x14ac:dyDescent="0.25">
      <c r="A286" s="1">
        <v>45279</v>
      </c>
      <c r="B286" t="s">
        <v>42</v>
      </c>
      <c r="C286" t="s">
        <v>35</v>
      </c>
      <c r="D286" t="s">
        <v>36</v>
      </c>
      <c r="E286">
        <v>9</v>
      </c>
      <c r="F286" s="3">
        <v>8613</v>
      </c>
      <c r="G286" t="s">
        <v>39</v>
      </c>
      <c r="H286" t="s">
        <v>23</v>
      </c>
    </row>
    <row r="287" spans="1:8" x14ac:dyDescent="0.25">
      <c r="A287" s="1">
        <v>45825</v>
      </c>
      <c r="B287" t="s">
        <v>18</v>
      </c>
      <c r="C287" t="s">
        <v>21</v>
      </c>
      <c r="D287" t="s">
        <v>22</v>
      </c>
      <c r="E287">
        <v>19</v>
      </c>
      <c r="F287" s="3">
        <v>14649</v>
      </c>
      <c r="G287" t="s">
        <v>27</v>
      </c>
      <c r="H287" t="s">
        <v>28</v>
      </c>
    </row>
    <row r="288" spans="1:8" x14ac:dyDescent="0.25">
      <c r="A288" s="1">
        <v>45052</v>
      </c>
      <c r="B288" t="s">
        <v>13</v>
      </c>
      <c r="C288" t="s">
        <v>41</v>
      </c>
      <c r="D288" t="s">
        <v>26</v>
      </c>
      <c r="E288">
        <v>11</v>
      </c>
      <c r="F288" s="3">
        <v>21010</v>
      </c>
      <c r="G288" t="s">
        <v>16</v>
      </c>
      <c r="H288" t="s">
        <v>17</v>
      </c>
    </row>
    <row r="289" spans="1:8" x14ac:dyDescent="0.25">
      <c r="A289" s="1">
        <v>45603</v>
      </c>
      <c r="B289" t="s">
        <v>8</v>
      </c>
      <c r="C289" t="s">
        <v>35</v>
      </c>
      <c r="D289" t="s">
        <v>36</v>
      </c>
      <c r="E289">
        <v>4</v>
      </c>
      <c r="F289" s="3">
        <v>7784</v>
      </c>
      <c r="G289" t="s">
        <v>27</v>
      </c>
      <c r="H289" t="s">
        <v>28</v>
      </c>
    </row>
    <row r="290" spans="1:8" x14ac:dyDescent="0.25">
      <c r="A290" s="1">
        <v>45776</v>
      </c>
      <c r="B290" t="s">
        <v>40</v>
      </c>
      <c r="C290" t="s">
        <v>30</v>
      </c>
      <c r="D290" t="s">
        <v>15</v>
      </c>
      <c r="E290">
        <v>19</v>
      </c>
      <c r="F290" s="3">
        <v>33972</v>
      </c>
      <c r="G290" t="s">
        <v>16</v>
      </c>
      <c r="H290" t="s">
        <v>12</v>
      </c>
    </row>
    <row r="291" spans="1:8" x14ac:dyDescent="0.25">
      <c r="A291" s="1">
        <v>45192</v>
      </c>
      <c r="B291" t="s">
        <v>24</v>
      </c>
      <c r="C291" t="s">
        <v>35</v>
      </c>
      <c r="D291" t="s">
        <v>36</v>
      </c>
      <c r="E291">
        <v>13</v>
      </c>
      <c r="F291" s="3">
        <v>21671</v>
      </c>
      <c r="G291" t="s">
        <v>11</v>
      </c>
      <c r="H291" t="s">
        <v>43</v>
      </c>
    </row>
    <row r="292" spans="1:8" x14ac:dyDescent="0.25">
      <c r="A292" s="1">
        <v>45296</v>
      </c>
      <c r="B292" t="s">
        <v>29</v>
      </c>
      <c r="C292" t="s">
        <v>44</v>
      </c>
      <c r="D292" t="s">
        <v>45</v>
      </c>
      <c r="E292">
        <v>13</v>
      </c>
      <c r="F292" s="3">
        <v>5746</v>
      </c>
      <c r="G292" t="s">
        <v>31</v>
      </c>
      <c r="H292" t="s">
        <v>34</v>
      </c>
    </row>
    <row r="293" spans="1:8" x14ac:dyDescent="0.25">
      <c r="A293" s="1">
        <v>45441</v>
      </c>
      <c r="B293" t="s">
        <v>13</v>
      </c>
      <c r="C293" t="s">
        <v>21</v>
      </c>
      <c r="D293" t="s">
        <v>22</v>
      </c>
      <c r="E293">
        <v>16</v>
      </c>
      <c r="F293" s="3">
        <v>8640</v>
      </c>
      <c r="G293" t="s">
        <v>31</v>
      </c>
      <c r="H293" t="s">
        <v>32</v>
      </c>
    </row>
    <row r="294" spans="1:8" x14ac:dyDescent="0.25">
      <c r="A294" s="1">
        <v>45403</v>
      </c>
      <c r="B294" t="s">
        <v>40</v>
      </c>
      <c r="C294" t="s">
        <v>41</v>
      </c>
      <c r="D294" t="s">
        <v>26</v>
      </c>
      <c r="E294">
        <v>3</v>
      </c>
      <c r="F294" s="3">
        <v>960</v>
      </c>
      <c r="G294" t="s">
        <v>31</v>
      </c>
      <c r="H294" t="s">
        <v>34</v>
      </c>
    </row>
    <row r="295" spans="1:8" x14ac:dyDescent="0.25">
      <c r="A295" s="1">
        <v>45935</v>
      </c>
      <c r="B295" t="s">
        <v>33</v>
      </c>
      <c r="C295" t="s">
        <v>35</v>
      </c>
      <c r="D295" t="s">
        <v>36</v>
      </c>
      <c r="E295">
        <v>11</v>
      </c>
      <c r="F295" s="3">
        <v>16181</v>
      </c>
      <c r="G295" t="s">
        <v>31</v>
      </c>
      <c r="H295" t="s">
        <v>43</v>
      </c>
    </row>
    <row r="296" spans="1:8" x14ac:dyDescent="0.25">
      <c r="A296" s="1">
        <v>45266</v>
      </c>
      <c r="B296" t="s">
        <v>42</v>
      </c>
      <c r="C296" t="s">
        <v>30</v>
      </c>
      <c r="D296" t="s">
        <v>15</v>
      </c>
      <c r="E296">
        <v>18</v>
      </c>
      <c r="F296" s="3">
        <v>9360</v>
      </c>
      <c r="G296" t="s">
        <v>11</v>
      </c>
      <c r="H296" t="s">
        <v>34</v>
      </c>
    </row>
    <row r="297" spans="1:8" x14ac:dyDescent="0.25">
      <c r="A297" s="1">
        <v>45743</v>
      </c>
      <c r="B297" t="s">
        <v>48</v>
      </c>
      <c r="C297" t="s">
        <v>21</v>
      </c>
      <c r="D297" t="s">
        <v>22</v>
      </c>
      <c r="E297">
        <v>4</v>
      </c>
      <c r="F297" s="3">
        <v>4700</v>
      </c>
      <c r="G297" t="s">
        <v>11</v>
      </c>
      <c r="H297" t="s">
        <v>43</v>
      </c>
    </row>
    <row r="298" spans="1:8" x14ac:dyDescent="0.25">
      <c r="A298" s="1">
        <v>45126</v>
      </c>
      <c r="B298" t="s">
        <v>20</v>
      </c>
      <c r="C298" t="s">
        <v>14</v>
      </c>
      <c r="D298" t="s">
        <v>15</v>
      </c>
      <c r="E298">
        <v>17</v>
      </c>
      <c r="F298" s="3">
        <v>27217</v>
      </c>
      <c r="G298" t="s">
        <v>16</v>
      </c>
      <c r="H298" t="s">
        <v>19</v>
      </c>
    </row>
    <row r="299" spans="1:8" x14ac:dyDescent="0.25">
      <c r="A299" s="1">
        <v>45509</v>
      </c>
      <c r="B299" t="s">
        <v>46</v>
      </c>
      <c r="C299" t="s">
        <v>25</v>
      </c>
      <c r="D299" t="s">
        <v>26</v>
      </c>
      <c r="E299">
        <v>8</v>
      </c>
      <c r="F299" s="3">
        <v>11808</v>
      </c>
      <c r="G299" t="s">
        <v>27</v>
      </c>
      <c r="H299" t="s">
        <v>43</v>
      </c>
    </row>
    <row r="300" spans="1:8" x14ac:dyDescent="0.25">
      <c r="A300" s="1">
        <v>45983</v>
      </c>
      <c r="B300" t="s">
        <v>8</v>
      </c>
      <c r="C300" t="s">
        <v>35</v>
      </c>
      <c r="D300" t="s">
        <v>36</v>
      </c>
      <c r="E300">
        <v>13</v>
      </c>
      <c r="F300" s="3">
        <v>8710</v>
      </c>
      <c r="G300" t="s">
        <v>39</v>
      </c>
      <c r="H300" t="s">
        <v>28</v>
      </c>
    </row>
    <row r="301" spans="1:8" x14ac:dyDescent="0.25">
      <c r="A301" s="1">
        <v>45868</v>
      </c>
      <c r="B301" t="s">
        <v>20</v>
      </c>
      <c r="C301" t="s">
        <v>35</v>
      </c>
      <c r="D301" t="s">
        <v>36</v>
      </c>
      <c r="E301">
        <v>8</v>
      </c>
      <c r="F301" s="3">
        <v>15880</v>
      </c>
      <c r="G301" t="s">
        <v>39</v>
      </c>
      <c r="H301" t="s">
        <v>43</v>
      </c>
    </row>
    <row r="302" spans="1:8" x14ac:dyDescent="0.25">
      <c r="A302" s="1">
        <v>45671</v>
      </c>
      <c r="B302" t="s">
        <v>29</v>
      </c>
      <c r="C302" t="s">
        <v>35</v>
      </c>
      <c r="D302" t="s">
        <v>36</v>
      </c>
      <c r="E302">
        <v>4</v>
      </c>
      <c r="F302" s="3">
        <v>2516</v>
      </c>
      <c r="G302" t="s">
        <v>31</v>
      </c>
      <c r="H302" t="s">
        <v>28</v>
      </c>
    </row>
    <row r="303" spans="1:8" x14ac:dyDescent="0.25">
      <c r="A303" s="1">
        <v>45668</v>
      </c>
      <c r="B303" t="s">
        <v>29</v>
      </c>
      <c r="C303" t="s">
        <v>37</v>
      </c>
      <c r="D303" t="s">
        <v>15</v>
      </c>
      <c r="E303">
        <v>4</v>
      </c>
      <c r="F303" s="3">
        <v>7852</v>
      </c>
      <c r="G303" t="s">
        <v>11</v>
      </c>
      <c r="H303" t="s">
        <v>43</v>
      </c>
    </row>
    <row r="304" spans="1:8" x14ac:dyDescent="0.25">
      <c r="A304" s="1">
        <v>45415</v>
      </c>
      <c r="B304" t="s">
        <v>13</v>
      </c>
      <c r="C304" t="s">
        <v>44</v>
      </c>
      <c r="D304" t="s">
        <v>45</v>
      </c>
      <c r="E304">
        <v>11</v>
      </c>
      <c r="F304" s="3">
        <v>21648</v>
      </c>
      <c r="G304" t="s">
        <v>11</v>
      </c>
      <c r="H304" t="s">
        <v>43</v>
      </c>
    </row>
    <row r="305" spans="1:8" x14ac:dyDescent="0.25">
      <c r="A305" s="1">
        <v>45950</v>
      </c>
      <c r="B305" t="s">
        <v>33</v>
      </c>
      <c r="C305" t="s">
        <v>30</v>
      </c>
      <c r="D305" t="s">
        <v>15</v>
      </c>
      <c r="E305">
        <v>14</v>
      </c>
      <c r="F305" s="3">
        <v>24178</v>
      </c>
      <c r="G305" t="s">
        <v>11</v>
      </c>
      <c r="H305" t="s">
        <v>43</v>
      </c>
    </row>
    <row r="306" spans="1:8" x14ac:dyDescent="0.25">
      <c r="A306" s="1">
        <v>45815</v>
      </c>
      <c r="B306" t="s">
        <v>18</v>
      </c>
      <c r="C306" t="s">
        <v>41</v>
      </c>
      <c r="D306" t="s">
        <v>26</v>
      </c>
      <c r="E306">
        <v>11</v>
      </c>
      <c r="F306" s="3">
        <v>13112</v>
      </c>
      <c r="G306" t="s">
        <v>16</v>
      </c>
      <c r="H306" t="s">
        <v>19</v>
      </c>
    </row>
    <row r="307" spans="1:8" x14ac:dyDescent="0.25">
      <c r="A307" s="1">
        <v>46012</v>
      </c>
      <c r="B307" t="s">
        <v>42</v>
      </c>
      <c r="C307" t="s">
        <v>41</v>
      </c>
      <c r="D307" t="s">
        <v>26</v>
      </c>
      <c r="E307">
        <v>17</v>
      </c>
      <c r="F307" s="3">
        <v>10217</v>
      </c>
      <c r="G307" t="s">
        <v>39</v>
      </c>
      <c r="H307" t="s">
        <v>34</v>
      </c>
    </row>
    <row r="308" spans="1:8" x14ac:dyDescent="0.25">
      <c r="A308" s="1">
        <v>45288</v>
      </c>
      <c r="B308" t="s">
        <v>42</v>
      </c>
      <c r="C308" t="s">
        <v>44</v>
      </c>
      <c r="D308" t="s">
        <v>45</v>
      </c>
      <c r="E308">
        <v>15</v>
      </c>
      <c r="F308" s="3">
        <v>22725</v>
      </c>
      <c r="G308" t="s">
        <v>39</v>
      </c>
      <c r="H308" t="s">
        <v>12</v>
      </c>
    </row>
    <row r="309" spans="1:8" x14ac:dyDescent="0.25">
      <c r="A309" s="1">
        <v>44981</v>
      </c>
      <c r="B309" t="s">
        <v>47</v>
      </c>
      <c r="C309" t="s">
        <v>14</v>
      </c>
      <c r="D309" t="s">
        <v>15</v>
      </c>
      <c r="E309">
        <v>7</v>
      </c>
      <c r="F309" s="3">
        <v>11921</v>
      </c>
      <c r="G309" t="s">
        <v>27</v>
      </c>
      <c r="H309" t="s">
        <v>12</v>
      </c>
    </row>
    <row r="310" spans="1:8" x14ac:dyDescent="0.25">
      <c r="A310" s="1">
        <v>45366</v>
      </c>
      <c r="B310" t="s">
        <v>48</v>
      </c>
      <c r="C310" t="s">
        <v>37</v>
      </c>
      <c r="D310" t="s">
        <v>15</v>
      </c>
      <c r="E310">
        <v>16</v>
      </c>
      <c r="F310" s="3">
        <v>1488</v>
      </c>
      <c r="G310" t="s">
        <v>31</v>
      </c>
      <c r="H310" t="s">
        <v>12</v>
      </c>
    </row>
    <row r="311" spans="1:8" x14ac:dyDescent="0.25">
      <c r="A311" s="1">
        <v>45255</v>
      </c>
      <c r="B311" t="s">
        <v>8</v>
      </c>
      <c r="C311" t="s">
        <v>14</v>
      </c>
      <c r="D311" t="s">
        <v>15</v>
      </c>
      <c r="E311">
        <v>13</v>
      </c>
      <c r="F311" s="3">
        <v>17329</v>
      </c>
      <c r="G311" t="s">
        <v>11</v>
      </c>
      <c r="H311" t="s">
        <v>28</v>
      </c>
    </row>
    <row r="312" spans="1:8" x14ac:dyDescent="0.25">
      <c r="A312" s="1">
        <v>45970</v>
      </c>
      <c r="B312" t="s">
        <v>8</v>
      </c>
      <c r="C312" t="s">
        <v>21</v>
      </c>
      <c r="D312" t="s">
        <v>22</v>
      </c>
      <c r="E312">
        <v>17</v>
      </c>
      <c r="F312" s="3">
        <v>12869</v>
      </c>
      <c r="G312" t="s">
        <v>16</v>
      </c>
      <c r="H312" t="s">
        <v>19</v>
      </c>
    </row>
    <row r="313" spans="1:8" x14ac:dyDescent="0.25">
      <c r="A313" s="1">
        <v>45500</v>
      </c>
      <c r="B313" t="s">
        <v>20</v>
      </c>
      <c r="C313" t="s">
        <v>30</v>
      </c>
      <c r="D313" t="s">
        <v>15</v>
      </c>
      <c r="E313">
        <v>6</v>
      </c>
      <c r="F313" s="3">
        <v>2760</v>
      </c>
      <c r="G313" t="s">
        <v>11</v>
      </c>
      <c r="H313" t="s">
        <v>34</v>
      </c>
    </row>
    <row r="314" spans="1:8" x14ac:dyDescent="0.25">
      <c r="A314" s="1">
        <v>45501</v>
      </c>
      <c r="B314" t="s">
        <v>20</v>
      </c>
      <c r="C314" t="s">
        <v>41</v>
      </c>
      <c r="D314" t="s">
        <v>26</v>
      </c>
      <c r="E314">
        <v>9</v>
      </c>
      <c r="F314" s="3">
        <v>12969</v>
      </c>
      <c r="G314" t="s">
        <v>11</v>
      </c>
      <c r="H314" t="s">
        <v>23</v>
      </c>
    </row>
    <row r="315" spans="1:8" x14ac:dyDescent="0.25">
      <c r="A315" s="1">
        <v>45550</v>
      </c>
      <c r="B315" t="s">
        <v>24</v>
      </c>
      <c r="C315" t="s">
        <v>44</v>
      </c>
      <c r="D315" t="s">
        <v>45</v>
      </c>
      <c r="E315">
        <v>5</v>
      </c>
      <c r="F315" s="3">
        <v>3480</v>
      </c>
      <c r="G315" t="s">
        <v>27</v>
      </c>
      <c r="H315" t="s">
        <v>12</v>
      </c>
    </row>
    <row r="316" spans="1:8" x14ac:dyDescent="0.25">
      <c r="A316" s="1">
        <v>45201</v>
      </c>
      <c r="B316" t="s">
        <v>33</v>
      </c>
      <c r="C316" t="s">
        <v>41</v>
      </c>
      <c r="D316" t="s">
        <v>26</v>
      </c>
      <c r="E316">
        <v>16</v>
      </c>
      <c r="F316" s="3">
        <v>5600</v>
      </c>
      <c r="G316" t="s">
        <v>27</v>
      </c>
      <c r="H316" t="s">
        <v>34</v>
      </c>
    </row>
    <row r="317" spans="1:8" x14ac:dyDescent="0.25">
      <c r="A317" s="1">
        <v>44994</v>
      </c>
      <c r="B317" t="s">
        <v>48</v>
      </c>
      <c r="C317" t="s">
        <v>37</v>
      </c>
      <c r="D317" t="s">
        <v>15</v>
      </c>
      <c r="E317">
        <v>9</v>
      </c>
      <c r="F317" s="3">
        <v>2304</v>
      </c>
      <c r="G317" t="s">
        <v>11</v>
      </c>
      <c r="H317" t="s">
        <v>43</v>
      </c>
    </row>
    <row r="318" spans="1:8" x14ac:dyDescent="0.25">
      <c r="A318" s="1">
        <v>45908</v>
      </c>
      <c r="B318" t="s">
        <v>24</v>
      </c>
      <c r="C318" t="s">
        <v>37</v>
      </c>
      <c r="D318" t="s">
        <v>15</v>
      </c>
      <c r="E318">
        <v>19</v>
      </c>
      <c r="F318" s="3">
        <v>27037</v>
      </c>
      <c r="G318" t="s">
        <v>31</v>
      </c>
      <c r="H318" t="s">
        <v>28</v>
      </c>
    </row>
    <row r="319" spans="1:8" x14ac:dyDescent="0.25">
      <c r="A319" s="1">
        <v>45890</v>
      </c>
      <c r="B319" t="s">
        <v>46</v>
      </c>
      <c r="C319" t="s">
        <v>41</v>
      </c>
      <c r="D319" t="s">
        <v>26</v>
      </c>
      <c r="E319">
        <v>4</v>
      </c>
      <c r="F319" s="3">
        <v>5732</v>
      </c>
      <c r="G319" t="s">
        <v>39</v>
      </c>
      <c r="H319" t="s">
        <v>28</v>
      </c>
    </row>
    <row r="320" spans="1:8" x14ac:dyDescent="0.25">
      <c r="A320" s="1">
        <v>45080</v>
      </c>
      <c r="B320" t="s">
        <v>18</v>
      </c>
      <c r="C320" t="s">
        <v>30</v>
      </c>
      <c r="D320" t="s">
        <v>15</v>
      </c>
      <c r="E320">
        <v>17</v>
      </c>
      <c r="F320" s="3">
        <v>14671</v>
      </c>
      <c r="G320" t="s">
        <v>27</v>
      </c>
      <c r="H320" t="s">
        <v>23</v>
      </c>
    </row>
    <row r="321" spans="1:8" x14ac:dyDescent="0.25">
      <c r="A321" s="1">
        <v>45886</v>
      </c>
      <c r="B321" t="s">
        <v>46</v>
      </c>
      <c r="C321" t="s">
        <v>9</v>
      </c>
      <c r="D321" t="s">
        <v>10</v>
      </c>
      <c r="E321">
        <v>13</v>
      </c>
      <c r="F321" s="3">
        <v>13325</v>
      </c>
      <c r="G321" t="s">
        <v>16</v>
      </c>
      <c r="H321" t="s">
        <v>43</v>
      </c>
    </row>
    <row r="322" spans="1:8" x14ac:dyDescent="0.25">
      <c r="A322" s="1">
        <v>44931</v>
      </c>
      <c r="B322" t="s">
        <v>29</v>
      </c>
      <c r="C322" t="s">
        <v>14</v>
      </c>
      <c r="D322" t="s">
        <v>15</v>
      </c>
      <c r="E322">
        <v>19</v>
      </c>
      <c r="F322" s="3">
        <v>4370</v>
      </c>
      <c r="G322" t="s">
        <v>39</v>
      </c>
      <c r="H322" t="s">
        <v>23</v>
      </c>
    </row>
    <row r="323" spans="1:8" x14ac:dyDescent="0.25">
      <c r="A323" s="1">
        <v>45931</v>
      </c>
      <c r="B323" t="s">
        <v>33</v>
      </c>
      <c r="C323" t="s">
        <v>44</v>
      </c>
      <c r="D323" t="s">
        <v>45</v>
      </c>
      <c r="E323">
        <v>18</v>
      </c>
      <c r="F323" s="3">
        <v>19890</v>
      </c>
      <c r="G323" t="s">
        <v>27</v>
      </c>
      <c r="H323" t="s">
        <v>34</v>
      </c>
    </row>
    <row r="324" spans="1:8" x14ac:dyDescent="0.25">
      <c r="A324" s="1">
        <v>45191</v>
      </c>
      <c r="B324" t="s">
        <v>24</v>
      </c>
      <c r="C324" t="s">
        <v>37</v>
      </c>
      <c r="D324" t="s">
        <v>15</v>
      </c>
      <c r="E324">
        <v>7</v>
      </c>
      <c r="F324" s="3">
        <v>6888</v>
      </c>
      <c r="G324" t="s">
        <v>39</v>
      </c>
      <c r="H324" t="s">
        <v>17</v>
      </c>
    </row>
    <row r="325" spans="1:8" x14ac:dyDescent="0.25">
      <c r="A325" s="1">
        <v>45923</v>
      </c>
      <c r="B325" t="s">
        <v>24</v>
      </c>
      <c r="C325" t="s">
        <v>35</v>
      </c>
      <c r="D325" t="s">
        <v>36</v>
      </c>
      <c r="E325">
        <v>11</v>
      </c>
      <c r="F325" s="3">
        <v>4323</v>
      </c>
      <c r="G325" t="s">
        <v>11</v>
      </c>
      <c r="H325" t="s">
        <v>17</v>
      </c>
    </row>
    <row r="326" spans="1:8" x14ac:dyDescent="0.25">
      <c r="A326" s="1">
        <v>45359</v>
      </c>
      <c r="B326" t="s">
        <v>48</v>
      </c>
      <c r="C326" t="s">
        <v>30</v>
      </c>
      <c r="D326" t="s">
        <v>15</v>
      </c>
      <c r="E326">
        <v>8</v>
      </c>
      <c r="F326" s="3">
        <v>13936</v>
      </c>
      <c r="G326" t="s">
        <v>39</v>
      </c>
      <c r="H326" t="s">
        <v>23</v>
      </c>
    </row>
    <row r="327" spans="1:8" x14ac:dyDescent="0.25">
      <c r="A327" s="1">
        <v>45094</v>
      </c>
      <c r="B327" t="s">
        <v>18</v>
      </c>
      <c r="C327" t="s">
        <v>25</v>
      </c>
      <c r="D327" t="s">
        <v>26</v>
      </c>
      <c r="E327">
        <v>12</v>
      </c>
      <c r="F327" s="3">
        <v>14100</v>
      </c>
      <c r="G327" t="s">
        <v>31</v>
      </c>
      <c r="H327" t="s">
        <v>28</v>
      </c>
    </row>
    <row r="328" spans="1:8" x14ac:dyDescent="0.25">
      <c r="A328" s="1">
        <v>45268</v>
      </c>
      <c r="B328" t="s">
        <v>42</v>
      </c>
      <c r="C328" t="s">
        <v>35</v>
      </c>
      <c r="D328" t="s">
        <v>36</v>
      </c>
      <c r="E328">
        <v>3</v>
      </c>
      <c r="F328" s="3">
        <v>2976</v>
      </c>
      <c r="G328" t="s">
        <v>16</v>
      </c>
      <c r="H328" t="s">
        <v>34</v>
      </c>
    </row>
    <row r="329" spans="1:8" x14ac:dyDescent="0.25">
      <c r="A329" s="1">
        <v>44994</v>
      </c>
      <c r="B329" t="s">
        <v>48</v>
      </c>
      <c r="C329" t="s">
        <v>9</v>
      </c>
      <c r="D329" t="s">
        <v>10</v>
      </c>
      <c r="E329">
        <v>2</v>
      </c>
      <c r="F329" s="3">
        <v>3242</v>
      </c>
      <c r="G329" t="s">
        <v>39</v>
      </c>
      <c r="H329" t="s">
        <v>28</v>
      </c>
    </row>
    <row r="330" spans="1:8" x14ac:dyDescent="0.25">
      <c r="A330" s="1">
        <v>45073</v>
      </c>
      <c r="B330" t="s">
        <v>13</v>
      </c>
      <c r="C330" t="s">
        <v>35</v>
      </c>
      <c r="D330" t="s">
        <v>36</v>
      </c>
      <c r="E330">
        <v>9</v>
      </c>
      <c r="F330" s="3">
        <v>5931</v>
      </c>
      <c r="G330" t="s">
        <v>27</v>
      </c>
      <c r="H330" t="s">
        <v>12</v>
      </c>
    </row>
    <row r="331" spans="1:8" x14ac:dyDescent="0.25">
      <c r="A331" s="1">
        <v>45360</v>
      </c>
      <c r="B331" t="s">
        <v>48</v>
      </c>
      <c r="C331" t="s">
        <v>37</v>
      </c>
      <c r="D331" t="s">
        <v>15</v>
      </c>
      <c r="E331">
        <v>20</v>
      </c>
      <c r="F331" s="3">
        <v>31860</v>
      </c>
      <c r="G331" t="s">
        <v>39</v>
      </c>
      <c r="H331" t="s">
        <v>23</v>
      </c>
    </row>
    <row r="332" spans="1:8" x14ac:dyDescent="0.25">
      <c r="A332" s="1">
        <v>45467</v>
      </c>
      <c r="B332" t="s">
        <v>18</v>
      </c>
      <c r="C332" t="s">
        <v>30</v>
      </c>
      <c r="D332" t="s">
        <v>15</v>
      </c>
      <c r="E332">
        <v>19</v>
      </c>
      <c r="F332" s="3">
        <v>1767</v>
      </c>
      <c r="G332" t="s">
        <v>16</v>
      </c>
      <c r="H332" t="s">
        <v>28</v>
      </c>
    </row>
    <row r="333" spans="1:8" x14ac:dyDescent="0.25">
      <c r="A333" s="1">
        <v>45255</v>
      </c>
      <c r="B333" t="s">
        <v>8</v>
      </c>
      <c r="C333" t="s">
        <v>9</v>
      </c>
      <c r="D333" t="s">
        <v>10</v>
      </c>
      <c r="E333">
        <v>16</v>
      </c>
      <c r="F333" s="3">
        <v>5120</v>
      </c>
      <c r="G333" t="s">
        <v>27</v>
      </c>
      <c r="H333" t="s">
        <v>19</v>
      </c>
    </row>
    <row r="334" spans="1:8" x14ac:dyDescent="0.25">
      <c r="A334" s="1">
        <v>45409</v>
      </c>
      <c r="B334" t="s">
        <v>40</v>
      </c>
      <c r="C334" t="s">
        <v>25</v>
      </c>
      <c r="D334" t="s">
        <v>26</v>
      </c>
      <c r="E334">
        <v>1</v>
      </c>
      <c r="F334" s="3">
        <v>1477</v>
      </c>
      <c r="G334" t="s">
        <v>39</v>
      </c>
      <c r="H334" t="s">
        <v>43</v>
      </c>
    </row>
    <row r="335" spans="1:8" x14ac:dyDescent="0.25">
      <c r="A335" s="1">
        <v>45307</v>
      </c>
      <c r="B335" t="s">
        <v>29</v>
      </c>
      <c r="C335" t="s">
        <v>35</v>
      </c>
      <c r="D335" t="s">
        <v>36</v>
      </c>
      <c r="E335">
        <v>7</v>
      </c>
      <c r="F335" s="3">
        <v>4312</v>
      </c>
      <c r="G335" t="s">
        <v>11</v>
      </c>
      <c r="H335" t="s">
        <v>34</v>
      </c>
    </row>
    <row r="336" spans="1:8" x14ac:dyDescent="0.25">
      <c r="A336" s="1">
        <v>45498</v>
      </c>
      <c r="B336" t="s">
        <v>20</v>
      </c>
      <c r="C336" t="s">
        <v>38</v>
      </c>
      <c r="D336" t="s">
        <v>22</v>
      </c>
      <c r="E336">
        <v>14</v>
      </c>
      <c r="F336" s="3">
        <v>8764</v>
      </c>
      <c r="G336" t="s">
        <v>11</v>
      </c>
      <c r="H336" t="s">
        <v>43</v>
      </c>
    </row>
    <row r="337" spans="1:8" x14ac:dyDescent="0.25">
      <c r="A337" s="1">
        <v>45919</v>
      </c>
      <c r="B337" t="s">
        <v>24</v>
      </c>
      <c r="C337" t="s">
        <v>9</v>
      </c>
      <c r="D337" t="s">
        <v>10</v>
      </c>
      <c r="E337">
        <v>14</v>
      </c>
      <c r="F337" s="3">
        <v>1694</v>
      </c>
      <c r="G337" t="s">
        <v>11</v>
      </c>
      <c r="H337" t="s">
        <v>43</v>
      </c>
    </row>
    <row r="338" spans="1:8" x14ac:dyDescent="0.25">
      <c r="A338" s="1">
        <v>45216</v>
      </c>
      <c r="B338" t="s">
        <v>33</v>
      </c>
      <c r="C338" t="s">
        <v>35</v>
      </c>
      <c r="D338" t="s">
        <v>36</v>
      </c>
      <c r="E338">
        <v>11</v>
      </c>
      <c r="F338" s="3">
        <v>715</v>
      </c>
      <c r="G338" t="s">
        <v>16</v>
      </c>
      <c r="H338" t="s">
        <v>34</v>
      </c>
    </row>
    <row r="339" spans="1:8" x14ac:dyDescent="0.25">
      <c r="A339" s="1">
        <v>45871</v>
      </c>
      <c r="B339" t="s">
        <v>46</v>
      </c>
      <c r="C339" t="s">
        <v>14</v>
      </c>
      <c r="D339" t="s">
        <v>15</v>
      </c>
      <c r="E339">
        <v>20</v>
      </c>
      <c r="F339" s="3">
        <v>16580</v>
      </c>
      <c r="G339" t="s">
        <v>31</v>
      </c>
      <c r="H339" t="s">
        <v>28</v>
      </c>
    </row>
    <row r="340" spans="1:8" x14ac:dyDescent="0.25">
      <c r="A340" s="1">
        <v>45957</v>
      </c>
      <c r="B340" t="s">
        <v>33</v>
      </c>
      <c r="C340" t="s">
        <v>35</v>
      </c>
      <c r="D340" t="s">
        <v>36</v>
      </c>
      <c r="E340">
        <v>5</v>
      </c>
      <c r="F340" s="3">
        <v>9640</v>
      </c>
      <c r="G340" t="s">
        <v>39</v>
      </c>
      <c r="H340" t="s">
        <v>23</v>
      </c>
    </row>
    <row r="341" spans="1:8" x14ac:dyDescent="0.25">
      <c r="A341" s="1">
        <v>45413</v>
      </c>
      <c r="B341" t="s">
        <v>13</v>
      </c>
      <c r="C341" t="s">
        <v>14</v>
      </c>
      <c r="D341" t="s">
        <v>15</v>
      </c>
      <c r="E341">
        <v>19</v>
      </c>
      <c r="F341" s="3">
        <v>37202</v>
      </c>
      <c r="G341" t="s">
        <v>31</v>
      </c>
      <c r="H341" t="s">
        <v>12</v>
      </c>
    </row>
    <row r="342" spans="1:8" x14ac:dyDescent="0.25">
      <c r="A342" s="1">
        <v>45751</v>
      </c>
      <c r="B342" t="s">
        <v>40</v>
      </c>
      <c r="C342" t="s">
        <v>35</v>
      </c>
      <c r="D342" t="s">
        <v>36</v>
      </c>
      <c r="E342">
        <v>16</v>
      </c>
      <c r="F342" s="3">
        <v>26528</v>
      </c>
      <c r="G342" t="s">
        <v>39</v>
      </c>
      <c r="H342" t="s">
        <v>19</v>
      </c>
    </row>
    <row r="343" spans="1:8" x14ac:dyDescent="0.25">
      <c r="A343" s="1">
        <v>45484</v>
      </c>
      <c r="B343" t="s">
        <v>20</v>
      </c>
      <c r="C343" t="s">
        <v>35</v>
      </c>
      <c r="D343" t="s">
        <v>36</v>
      </c>
      <c r="E343">
        <v>19</v>
      </c>
      <c r="F343" s="3">
        <v>37582</v>
      </c>
      <c r="G343" t="s">
        <v>39</v>
      </c>
      <c r="H343" t="s">
        <v>17</v>
      </c>
    </row>
    <row r="344" spans="1:8" x14ac:dyDescent="0.25">
      <c r="A344" s="1">
        <v>45068</v>
      </c>
      <c r="B344" t="s">
        <v>13</v>
      </c>
      <c r="C344" t="s">
        <v>21</v>
      </c>
      <c r="D344" t="s">
        <v>22</v>
      </c>
      <c r="E344">
        <v>17</v>
      </c>
      <c r="F344" s="3">
        <v>23222</v>
      </c>
      <c r="G344" t="s">
        <v>39</v>
      </c>
      <c r="H344" t="s">
        <v>23</v>
      </c>
    </row>
    <row r="345" spans="1:8" x14ac:dyDescent="0.25">
      <c r="A345" s="1">
        <v>45660</v>
      </c>
      <c r="B345" t="s">
        <v>29</v>
      </c>
      <c r="C345" t="s">
        <v>25</v>
      </c>
      <c r="D345" t="s">
        <v>26</v>
      </c>
      <c r="E345">
        <v>4</v>
      </c>
      <c r="F345" s="3">
        <v>3832</v>
      </c>
      <c r="G345" t="s">
        <v>39</v>
      </c>
      <c r="H345" t="s">
        <v>19</v>
      </c>
    </row>
    <row r="346" spans="1:8" x14ac:dyDescent="0.25">
      <c r="A346" s="1">
        <v>45226</v>
      </c>
      <c r="B346" t="s">
        <v>33</v>
      </c>
      <c r="C346" t="s">
        <v>35</v>
      </c>
      <c r="D346" t="s">
        <v>36</v>
      </c>
      <c r="E346">
        <v>4</v>
      </c>
      <c r="F346" s="3">
        <v>1340</v>
      </c>
      <c r="G346" t="s">
        <v>16</v>
      </c>
      <c r="H346" t="s">
        <v>12</v>
      </c>
    </row>
    <row r="347" spans="1:8" x14ac:dyDescent="0.25">
      <c r="A347" s="1">
        <v>45378</v>
      </c>
      <c r="B347" t="s">
        <v>48</v>
      </c>
      <c r="C347" t="s">
        <v>41</v>
      </c>
      <c r="D347" t="s">
        <v>26</v>
      </c>
      <c r="E347">
        <v>15</v>
      </c>
      <c r="F347" s="3">
        <v>2940</v>
      </c>
      <c r="G347" t="s">
        <v>16</v>
      </c>
      <c r="H347" t="s">
        <v>17</v>
      </c>
    </row>
    <row r="348" spans="1:8" x14ac:dyDescent="0.25">
      <c r="A348" s="1">
        <v>45504</v>
      </c>
      <c r="B348" t="s">
        <v>20</v>
      </c>
      <c r="C348" t="s">
        <v>41</v>
      </c>
      <c r="D348" t="s">
        <v>26</v>
      </c>
      <c r="E348">
        <v>15</v>
      </c>
      <c r="F348" s="3">
        <v>16605</v>
      </c>
      <c r="G348" t="s">
        <v>11</v>
      </c>
      <c r="H348" t="s">
        <v>34</v>
      </c>
    </row>
    <row r="349" spans="1:8" x14ac:dyDescent="0.25">
      <c r="A349" s="1">
        <v>45246</v>
      </c>
      <c r="B349" t="s">
        <v>8</v>
      </c>
      <c r="C349" t="s">
        <v>44</v>
      </c>
      <c r="D349" t="s">
        <v>45</v>
      </c>
      <c r="E349">
        <v>1</v>
      </c>
      <c r="F349" s="3">
        <v>85</v>
      </c>
      <c r="G349" t="s">
        <v>11</v>
      </c>
      <c r="H349" t="s">
        <v>12</v>
      </c>
    </row>
    <row r="350" spans="1:8" x14ac:dyDescent="0.25">
      <c r="A350" s="1">
        <v>45319</v>
      </c>
      <c r="B350" t="s">
        <v>29</v>
      </c>
      <c r="C350" t="s">
        <v>44</v>
      </c>
      <c r="D350" t="s">
        <v>45</v>
      </c>
      <c r="E350">
        <v>20</v>
      </c>
      <c r="F350" s="3">
        <v>30240</v>
      </c>
      <c r="G350" t="s">
        <v>11</v>
      </c>
      <c r="H350" t="s">
        <v>32</v>
      </c>
    </row>
    <row r="351" spans="1:8" x14ac:dyDescent="0.25">
      <c r="A351" s="1">
        <v>45797</v>
      </c>
      <c r="B351" t="s">
        <v>13</v>
      </c>
      <c r="C351" t="s">
        <v>44</v>
      </c>
      <c r="D351" t="s">
        <v>45</v>
      </c>
      <c r="E351">
        <v>15</v>
      </c>
      <c r="F351" s="3">
        <v>28875</v>
      </c>
      <c r="G351" t="s">
        <v>11</v>
      </c>
      <c r="H351" t="s">
        <v>17</v>
      </c>
    </row>
    <row r="352" spans="1:8" x14ac:dyDescent="0.25">
      <c r="A352" s="1">
        <v>45332</v>
      </c>
      <c r="B352" t="s">
        <v>47</v>
      </c>
      <c r="C352" t="s">
        <v>41</v>
      </c>
      <c r="D352" t="s">
        <v>26</v>
      </c>
      <c r="E352">
        <v>15</v>
      </c>
      <c r="F352" s="3">
        <v>23190</v>
      </c>
      <c r="G352" t="s">
        <v>27</v>
      </c>
      <c r="H352" t="s">
        <v>43</v>
      </c>
    </row>
    <row r="353" spans="1:8" x14ac:dyDescent="0.25">
      <c r="A353" s="1">
        <v>45877</v>
      </c>
      <c r="B353" t="s">
        <v>46</v>
      </c>
      <c r="C353" t="s">
        <v>25</v>
      </c>
      <c r="D353" t="s">
        <v>26</v>
      </c>
      <c r="E353">
        <v>11</v>
      </c>
      <c r="F353" s="3">
        <v>17226</v>
      </c>
      <c r="G353" t="s">
        <v>39</v>
      </c>
      <c r="H353" t="s">
        <v>43</v>
      </c>
    </row>
    <row r="354" spans="1:8" x14ac:dyDescent="0.25">
      <c r="A354" s="1">
        <v>45129</v>
      </c>
      <c r="B354" t="s">
        <v>20</v>
      </c>
      <c r="C354" t="s">
        <v>21</v>
      </c>
      <c r="D354" t="s">
        <v>22</v>
      </c>
      <c r="E354">
        <v>13</v>
      </c>
      <c r="F354" s="3">
        <v>16497</v>
      </c>
      <c r="G354" t="s">
        <v>11</v>
      </c>
      <c r="H354" t="s">
        <v>34</v>
      </c>
    </row>
    <row r="355" spans="1:8" x14ac:dyDescent="0.25">
      <c r="A355" s="1">
        <v>45146</v>
      </c>
      <c r="B355" t="s">
        <v>46</v>
      </c>
      <c r="C355" t="s">
        <v>30</v>
      </c>
      <c r="D355" t="s">
        <v>15</v>
      </c>
      <c r="E355">
        <v>11</v>
      </c>
      <c r="F355" s="3">
        <v>12815</v>
      </c>
      <c r="G355" t="s">
        <v>16</v>
      </c>
      <c r="H355" t="s">
        <v>23</v>
      </c>
    </row>
    <row r="356" spans="1:8" x14ac:dyDescent="0.25">
      <c r="A356" s="1">
        <v>45957</v>
      </c>
      <c r="B356" t="s">
        <v>33</v>
      </c>
      <c r="C356" t="s">
        <v>38</v>
      </c>
      <c r="D356" t="s">
        <v>22</v>
      </c>
      <c r="E356">
        <v>4</v>
      </c>
      <c r="F356" s="3">
        <v>5008</v>
      </c>
      <c r="G356" t="s">
        <v>39</v>
      </c>
      <c r="H356" t="s">
        <v>19</v>
      </c>
    </row>
    <row r="357" spans="1:8" x14ac:dyDescent="0.25">
      <c r="A357" s="1">
        <v>44941</v>
      </c>
      <c r="B357" t="s">
        <v>29</v>
      </c>
      <c r="C357" t="s">
        <v>41</v>
      </c>
      <c r="D357" t="s">
        <v>26</v>
      </c>
      <c r="E357">
        <v>11</v>
      </c>
      <c r="F357" s="3">
        <v>17556</v>
      </c>
      <c r="G357" t="s">
        <v>39</v>
      </c>
      <c r="H357" t="s">
        <v>19</v>
      </c>
    </row>
    <row r="358" spans="1:8" x14ac:dyDescent="0.25">
      <c r="A358" s="1">
        <v>45688</v>
      </c>
      <c r="B358" t="s">
        <v>29</v>
      </c>
      <c r="C358" t="s">
        <v>35</v>
      </c>
      <c r="D358" t="s">
        <v>36</v>
      </c>
      <c r="E358">
        <v>14</v>
      </c>
      <c r="F358" s="3">
        <v>7742</v>
      </c>
      <c r="G358" t="s">
        <v>16</v>
      </c>
      <c r="H358" t="s">
        <v>17</v>
      </c>
    </row>
    <row r="359" spans="1:8" x14ac:dyDescent="0.25">
      <c r="A359" s="1">
        <v>45812</v>
      </c>
      <c r="B359" t="s">
        <v>18</v>
      </c>
      <c r="C359" t="s">
        <v>30</v>
      </c>
      <c r="D359" t="s">
        <v>15</v>
      </c>
      <c r="E359">
        <v>8</v>
      </c>
      <c r="F359" s="3">
        <v>6856</v>
      </c>
      <c r="G359" t="s">
        <v>27</v>
      </c>
      <c r="H359" t="s">
        <v>34</v>
      </c>
    </row>
    <row r="360" spans="1:8" x14ac:dyDescent="0.25">
      <c r="A360" s="1">
        <v>45988</v>
      </c>
      <c r="B360" t="s">
        <v>8</v>
      </c>
      <c r="C360" t="s">
        <v>25</v>
      </c>
      <c r="D360" t="s">
        <v>26</v>
      </c>
      <c r="E360">
        <v>6</v>
      </c>
      <c r="F360" s="3">
        <v>5868</v>
      </c>
      <c r="G360" t="s">
        <v>31</v>
      </c>
      <c r="H360" t="s">
        <v>32</v>
      </c>
    </row>
    <row r="361" spans="1:8" x14ac:dyDescent="0.25">
      <c r="A361" s="1">
        <v>45697</v>
      </c>
      <c r="B361" t="s">
        <v>47</v>
      </c>
      <c r="C361" t="s">
        <v>37</v>
      </c>
      <c r="D361" t="s">
        <v>15</v>
      </c>
      <c r="E361">
        <v>7</v>
      </c>
      <c r="F361" s="3">
        <v>3675</v>
      </c>
      <c r="G361" t="s">
        <v>39</v>
      </c>
      <c r="H361" t="s">
        <v>32</v>
      </c>
    </row>
    <row r="362" spans="1:8" x14ac:dyDescent="0.25">
      <c r="A362" s="1">
        <v>45157</v>
      </c>
      <c r="B362" t="s">
        <v>46</v>
      </c>
      <c r="C362" t="s">
        <v>9</v>
      </c>
      <c r="D362" t="s">
        <v>10</v>
      </c>
      <c r="E362">
        <v>10</v>
      </c>
      <c r="F362" s="3">
        <v>1410</v>
      </c>
      <c r="G362" t="s">
        <v>31</v>
      </c>
      <c r="H362" t="s">
        <v>17</v>
      </c>
    </row>
    <row r="363" spans="1:8" x14ac:dyDescent="0.25">
      <c r="A363" s="1">
        <v>45297</v>
      </c>
      <c r="B363" t="s">
        <v>29</v>
      </c>
      <c r="C363" t="s">
        <v>25</v>
      </c>
      <c r="D363" t="s">
        <v>26</v>
      </c>
      <c r="E363">
        <v>19</v>
      </c>
      <c r="F363" s="3">
        <v>26448</v>
      </c>
      <c r="G363" t="s">
        <v>27</v>
      </c>
      <c r="H363" t="s">
        <v>23</v>
      </c>
    </row>
    <row r="364" spans="1:8" x14ac:dyDescent="0.25">
      <c r="A364" s="1">
        <v>45344</v>
      </c>
      <c r="B364" t="s">
        <v>47</v>
      </c>
      <c r="C364" t="s">
        <v>35</v>
      </c>
      <c r="D364" t="s">
        <v>36</v>
      </c>
      <c r="E364">
        <v>4</v>
      </c>
      <c r="F364" s="3">
        <v>6508</v>
      </c>
      <c r="G364" t="s">
        <v>39</v>
      </c>
      <c r="H364" t="s">
        <v>34</v>
      </c>
    </row>
    <row r="365" spans="1:8" x14ac:dyDescent="0.25">
      <c r="A365" s="1">
        <v>45516</v>
      </c>
      <c r="B365" t="s">
        <v>46</v>
      </c>
      <c r="C365" t="s">
        <v>21</v>
      </c>
      <c r="D365" t="s">
        <v>22</v>
      </c>
      <c r="E365">
        <v>15</v>
      </c>
      <c r="F365" s="3">
        <v>5295</v>
      </c>
      <c r="G365" t="s">
        <v>27</v>
      </c>
      <c r="H365" t="s">
        <v>32</v>
      </c>
    </row>
    <row r="366" spans="1:8" x14ac:dyDescent="0.25">
      <c r="A366" s="1">
        <v>45132</v>
      </c>
      <c r="B366" t="s">
        <v>20</v>
      </c>
      <c r="C366" t="s">
        <v>41</v>
      </c>
      <c r="D366" t="s">
        <v>26</v>
      </c>
      <c r="E366">
        <v>5</v>
      </c>
      <c r="F366" s="3">
        <v>1620</v>
      </c>
      <c r="G366" t="s">
        <v>16</v>
      </c>
      <c r="H366" t="s">
        <v>28</v>
      </c>
    </row>
    <row r="367" spans="1:8" x14ac:dyDescent="0.25">
      <c r="A367" s="1">
        <v>45991</v>
      </c>
      <c r="B367" t="s">
        <v>8</v>
      </c>
      <c r="C367" t="s">
        <v>37</v>
      </c>
      <c r="D367" t="s">
        <v>15</v>
      </c>
      <c r="E367">
        <v>14</v>
      </c>
      <c r="F367" s="3">
        <v>27762</v>
      </c>
      <c r="G367" t="s">
        <v>16</v>
      </c>
      <c r="H367" t="s">
        <v>12</v>
      </c>
    </row>
    <row r="368" spans="1:8" x14ac:dyDescent="0.25">
      <c r="A368" s="1">
        <v>45711</v>
      </c>
      <c r="B368" t="s">
        <v>47</v>
      </c>
      <c r="C368" t="s">
        <v>30</v>
      </c>
      <c r="D368" t="s">
        <v>15</v>
      </c>
      <c r="E368">
        <v>9</v>
      </c>
      <c r="F368" s="3">
        <v>10926</v>
      </c>
      <c r="G368" t="s">
        <v>39</v>
      </c>
      <c r="H368" t="s">
        <v>32</v>
      </c>
    </row>
    <row r="369" spans="1:8" x14ac:dyDescent="0.25">
      <c r="A369" s="1">
        <v>44949</v>
      </c>
      <c r="B369" t="s">
        <v>29</v>
      </c>
      <c r="C369" t="s">
        <v>30</v>
      </c>
      <c r="D369" t="s">
        <v>15</v>
      </c>
      <c r="E369">
        <v>18</v>
      </c>
      <c r="F369" s="3">
        <v>23382</v>
      </c>
      <c r="G369" t="s">
        <v>11</v>
      </c>
      <c r="H369" t="s">
        <v>32</v>
      </c>
    </row>
    <row r="370" spans="1:8" x14ac:dyDescent="0.25">
      <c r="A370" s="1">
        <v>45741</v>
      </c>
      <c r="B370" t="s">
        <v>48</v>
      </c>
      <c r="C370" t="s">
        <v>44</v>
      </c>
      <c r="D370" t="s">
        <v>45</v>
      </c>
      <c r="E370">
        <v>18</v>
      </c>
      <c r="F370" s="3">
        <v>2916</v>
      </c>
      <c r="G370" t="s">
        <v>16</v>
      </c>
      <c r="H370" t="s">
        <v>19</v>
      </c>
    </row>
    <row r="371" spans="1:8" x14ac:dyDescent="0.25">
      <c r="A371" s="1">
        <v>45116</v>
      </c>
      <c r="B371" t="s">
        <v>20</v>
      </c>
      <c r="C371" t="s">
        <v>9</v>
      </c>
      <c r="D371" t="s">
        <v>10</v>
      </c>
      <c r="E371">
        <v>9</v>
      </c>
      <c r="F371" s="3">
        <v>6066</v>
      </c>
      <c r="G371" t="s">
        <v>16</v>
      </c>
      <c r="H371" t="s">
        <v>12</v>
      </c>
    </row>
    <row r="372" spans="1:8" x14ac:dyDescent="0.25">
      <c r="A372" s="1">
        <v>45532</v>
      </c>
      <c r="B372" t="s">
        <v>46</v>
      </c>
      <c r="C372" t="s">
        <v>41</v>
      </c>
      <c r="D372" t="s">
        <v>26</v>
      </c>
      <c r="E372">
        <v>11</v>
      </c>
      <c r="F372" s="3">
        <v>3157</v>
      </c>
      <c r="G372" t="s">
        <v>31</v>
      </c>
      <c r="H372" t="s">
        <v>23</v>
      </c>
    </row>
    <row r="373" spans="1:8" x14ac:dyDescent="0.25">
      <c r="A373" s="1">
        <v>45117</v>
      </c>
      <c r="B373" t="s">
        <v>20</v>
      </c>
      <c r="C373" t="s">
        <v>14</v>
      </c>
      <c r="D373" t="s">
        <v>15</v>
      </c>
      <c r="E373">
        <v>3</v>
      </c>
      <c r="F373" s="3">
        <v>4827</v>
      </c>
      <c r="G373" t="s">
        <v>31</v>
      </c>
      <c r="H373" t="s">
        <v>17</v>
      </c>
    </row>
    <row r="374" spans="1:8" x14ac:dyDescent="0.25">
      <c r="A374" s="1">
        <v>45516</v>
      </c>
      <c r="B374" t="s">
        <v>46</v>
      </c>
      <c r="C374" t="s">
        <v>30</v>
      </c>
      <c r="D374" t="s">
        <v>15</v>
      </c>
      <c r="E374">
        <v>6</v>
      </c>
      <c r="F374" s="3">
        <v>4470</v>
      </c>
      <c r="G374" t="s">
        <v>27</v>
      </c>
      <c r="H374" t="s">
        <v>19</v>
      </c>
    </row>
    <row r="375" spans="1:8" x14ac:dyDescent="0.25">
      <c r="A375" s="1">
        <v>45441</v>
      </c>
      <c r="B375" t="s">
        <v>13</v>
      </c>
      <c r="C375" t="s">
        <v>35</v>
      </c>
      <c r="D375" t="s">
        <v>36</v>
      </c>
      <c r="E375">
        <v>17</v>
      </c>
      <c r="F375" s="3">
        <v>6120</v>
      </c>
      <c r="G375" t="s">
        <v>31</v>
      </c>
      <c r="H375" t="s">
        <v>28</v>
      </c>
    </row>
    <row r="376" spans="1:8" x14ac:dyDescent="0.25">
      <c r="A376" s="1">
        <v>45823</v>
      </c>
      <c r="B376" t="s">
        <v>18</v>
      </c>
      <c r="C376" t="s">
        <v>9</v>
      </c>
      <c r="D376" t="s">
        <v>10</v>
      </c>
      <c r="E376">
        <v>11</v>
      </c>
      <c r="F376" s="3">
        <v>6831</v>
      </c>
      <c r="G376" t="s">
        <v>39</v>
      </c>
      <c r="H376" t="s">
        <v>43</v>
      </c>
    </row>
    <row r="377" spans="1:8" x14ac:dyDescent="0.25">
      <c r="A377" s="1">
        <v>45392</v>
      </c>
      <c r="B377" t="s">
        <v>40</v>
      </c>
      <c r="C377" t="s">
        <v>30</v>
      </c>
      <c r="D377" t="s">
        <v>15</v>
      </c>
      <c r="E377">
        <v>19</v>
      </c>
      <c r="F377" s="3">
        <v>2128</v>
      </c>
      <c r="G377" t="s">
        <v>31</v>
      </c>
      <c r="H377" t="s">
        <v>28</v>
      </c>
    </row>
    <row r="378" spans="1:8" x14ac:dyDescent="0.25">
      <c r="A378" s="1">
        <v>45458</v>
      </c>
      <c r="B378" t="s">
        <v>18</v>
      </c>
      <c r="C378" t="s">
        <v>25</v>
      </c>
      <c r="D378" t="s">
        <v>26</v>
      </c>
      <c r="E378">
        <v>19</v>
      </c>
      <c r="F378" s="3">
        <v>15580</v>
      </c>
      <c r="G378" t="s">
        <v>39</v>
      </c>
      <c r="H378" t="s">
        <v>23</v>
      </c>
    </row>
    <row r="379" spans="1:8" x14ac:dyDescent="0.25">
      <c r="A379" s="1">
        <v>45013</v>
      </c>
      <c r="B379" t="s">
        <v>48</v>
      </c>
      <c r="C379" t="s">
        <v>41</v>
      </c>
      <c r="D379" t="s">
        <v>26</v>
      </c>
      <c r="E379">
        <v>7</v>
      </c>
      <c r="F379" s="3">
        <v>10570</v>
      </c>
      <c r="G379" t="s">
        <v>39</v>
      </c>
      <c r="H379" t="s">
        <v>43</v>
      </c>
    </row>
    <row r="380" spans="1:8" x14ac:dyDescent="0.25">
      <c r="A380" s="1">
        <v>45112</v>
      </c>
      <c r="B380" t="s">
        <v>20</v>
      </c>
      <c r="C380" t="s">
        <v>35</v>
      </c>
      <c r="D380" t="s">
        <v>36</v>
      </c>
      <c r="E380">
        <v>11</v>
      </c>
      <c r="F380" s="3">
        <v>13948</v>
      </c>
      <c r="G380" t="s">
        <v>16</v>
      </c>
      <c r="H380" t="s">
        <v>28</v>
      </c>
    </row>
    <row r="381" spans="1:8" x14ac:dyDescent="0.25">
      <c r="A381" s="1">
        <v>45008</v>
      </c>
      <c r="B381" t="s">
        <v>48</v>
      </c>
      <c r="C381" t="s">
        <v>21</v>
      </c>
      <c r="D381" t="s">
        <v>22</v>
      </c>
      <c r="E381">
        <v>19</v>
      </c>
      <c r="F381" s="3">
        <v>21508</v>
      </c>
      <c r="G381" t="s">
        <v>27</v>
      </c>
      <c r="H381" t="s">
        <v>32</v>
      </c>
    </row>
    <row r="382" spans="1:8" x14ac:dyDescent="0.25">
      <c r="A382" s="1">
        <v>45451</v>
      </c>
      <c r="B382" t="s">
        <v>18</v>
      </c>
      <c r="C382" t="s">
        <v>44</v>
      </c>
      <c r="D382" t="s">
        <v>45</v>
      </c>
      <c r="E382">
        <v>6</v>
      </c>
      <c r="F382" s="3">
        <v>10908</v>
      </c>
      <c r="G382" t="s">
        <v>39</v>
      </c>
      <c r="H382" t="s">
        <v>34</v>
      </c>
    </row>
    <row r="383" spans="1:8" x14ac:dyDescent="0.25">
      <c r="A383" s="1">
        <v>45693</v>
      </c>
      <c r="B383" t="s">
        <v>47</v>
      </c>
      <c r="C383" t="s">
        <v>37</v>
      </c>
      <c r="D383" t="s">
        <v>15</v>
      </c>
      <c r="E383">
        <v>12</v>
      </c>
      <c r="F383" s="3">
        <v>12600</v>
      </c>
      <c r="G383" t="s">
        <v>11</v>
      </c>
      <c r="H383" t="s">
        <v>28</v>
      </c>
    </row>
    <row r="384" spans="1:8" x14ac:dyDescent="0.25">
      <c r="A384" s="1">
        <v>45964</v>
      </c>
      <c r="B384" t="s">
        <v>8</v>
      </c>
      <c r="C384" t="s">
        <v>21</v>
      </c>
      <c r="D384" t="s">
        <v>22</v>
      </c>
      <c r="E384">
        <v>1</v>
      </c>
      <c r="F384" s="3">
        <v>1631</v>
      </c>
      <c r="G384" t="s">
        <v>11</v>
      </c>
      <c r="H384" t="s">
        <v>32</v>
      </c>
    </row>
    <row r="385" spans="1:8" x14ac:dyDescent="0.25">
      <c r="A385" s="1">
        <v>45184</v>
      </c>
      <c r="B385" t="s">
        <v>24</v>
      </c>
      <c r="C385" t="s">
        <v>14</v>
      </c>
      <c r="D385" t="s">
        <v>15</v>
      </c>
      <c r="E385">
        <v>13</v>
      </c>
      <c r="F385" s="3">
        <v>23933</v>
      </c>
      <c r="G385" t="s">
        <v>31</v>
      </c>
      <c r="H385" t="s">
        <v>32</v>
      </c>
    </row>
    <row r="386" spans="1:8" x14ac:dyDescent="0.25">
      <c r="A386" s="1">
        <v>45535</v>
      </c>
      <c r="B386" t="s">
        <v>46</v>
      </c>
      <c r="C386" t="s">
        <v>21</v>
      </c>
      <c r="D386" t="s">
        <v>22</v>
      </c>
      <c r="E386">
        <v>15</v>
      </c>
      <c r="F386" s="3">
        <v>8730</v>
      </c>
      <c r="G386" t="s">
        <v>11</v>
      </c>
      <c r="H386" t="s">
        <v>32</v>
      </c>
    </row>
    <row r="387" spans="1:8" x14ac:dyDescent="0.25">
      <c r="A387" s="1">
        <v>45636</v>
      </c>
      <c r="B387" t="s">
        <v>42</v>
      </c>
      <c r="C387" t="s">
        <v>25</v>
      </c>
      <c r="D387" t="s">
        <v>26</v>
      </c>
      <c r="E387">
        <v>13</v>
      </c>
      <c r="F387" s="3">
        <v>12532</v>
      </c>
      <c r="G387" t="s">
        <v>16</v>
      </c>
      <c r="H387" t="s">
        <v>28</v>
      </c>
    </row>
    <row r="388" spans="1:8" x14ac:dyDescent="0.25">
      <c r="A388" s="1">
        <v>45448</v>
      </c>
      <c r="B388" t="s">
        <v>18</v>
      </c>
      <c r="C388" t="s">
        <v>21</v>
      </c>
      <c r="D388" t="s">
        <v>22</v>
      </c>
      <c r="E388">
        <v>9</v>
      </c>
      <c r="F388" s="3">
        <v>3735</v>
      </c>
      <c r="G388" t="s">
        <v>39</v>
      </c>
      <c r="H388" t="s">
        <v>28</v>
      </c>
    </row>
    <row r="389" spans="1:8" x14ac:dyDescent="0.25">
      <c r="A389" s="1">
        <v>44934</v>
      </c>
      <c r="B389" t="s">
        <v>29</v>
      </c>
      <c r="C389" t="s">
        <v>38</v>
      </c>
      <c r="D389" t="s">
        <v>22</v>
      </c>
      <c r="E389">
        <v>18</v>
      </c>
      <c r="F389" s="3">
        <v>31842</v>
      </c>
      <c r="G389" t="s">
        <v>11</v>
      </c>
      <c r="H389" t="s">
        <v>19</v>
      </c>
    </row>
    <row r="390" spans="1:8" x14ac:dyDescent="0.25">
      <c r="A390" s="1">
        <v>45700</v>
      </c>
      <c r="B390" t="s">
        <v>47</v>
      </c>
      <c r="C390" t="s">
        <v>44</v>
      </c>
      <c r="D390" t="s">
        <v>45</v>
      </c>
      <c r="E390">
        <v>11</v>
      </c>
      <c r="F390" s="3">
        <v>13673</v>
      </c>
      <c r="G390" t="s">
        <v>31</v>
      </c>
      <c r="H390" t="s">
        <v>43</v>
      </c>
    </row>
    <row r="391" spans="1:8" x14ac:dyDescent="0.25">
      <c r="A391" s="1">
        <v>45809</v>
      </c>
      <c r="B391" t="s">
        <v>18</v>
      </c>
      <c r="C391" t="s">
        <v>21</v>
      </c>
      <c r="D391" t="s">
        <v>22</v>
      </c>
      <c r="E391">
        <v>18</v>
      </c>
      <c r="F391" s="3">
        <v>11322</v>
      </c>
      <c r="G391" t="s">
        <v>27</v>
      </c>
      <c r="H391" t="s">
        <v>32</v>
      </c>
    </row>
    <row r="392" spans="1:8" x14ac:dyDescent="0.25">
      <c r="A392" s="1">
        <v>45098</v>
      </c>
      <c r="B392" t="s">
        <v>18</v>
      </c>
      <c r="C392" t="s">
        <v>35</v>
      </c>
      <c r="D392" t="s">
        <v>36</v>
      </c>
      <c r="E392">
        <v>7</v>
      </c>
      <c r="F392" s="3">
        <v>4865</v>
      </c>
      <c r="G392" t="s">
        <v>39</v>
      </c>
      <c r="H392" t="s">
        <v>43</v>
      </c>
    </row>
    <row r="393" spans="1:8" x14ac:dyDescent="0.25">
      <c r="A393" s="1">
        <v>45707</v>
      </c>
      <c r="B393" t="s">
        <v>47</v>
      </c>
      <c r="C393" t="s">
        <v>9</v>
      </c>
      <c r="D393" t="s">
        <v>10</v>
      </c>
      <c r="E393">
        <v>16</v>
      </c>
      <c r="F393" s="3">
        <v>10112</v>
      </c>
      <c r="G393" t="s">
        <v>11</v>
      </c>
      <c r="H393" t="s">
        <v>19</v>
      </c>
    </row>
    <row r="394" spans="1:8" x14ac:dyDescent="0.25">
      <c r="A394" s="1">
        <v>45002</v>
      </c>
      <c r="B394" t="s">
        <v>48</v>
      </c>
      <c r="C394" t="s">
        <v>21</v>
      </c>
      <c r="D394" t="s">
        <v>22</v>
      </c>
      <c r="E394">
        <v>18</v>
      </c>
      <c r="F394" s="3">
        <v>12978</v>
      </c>
      <c r="G394" t="s">
        <v>31</v>
      </c>
      <c r="H394" t="s">
        <v>32</v>
      </c>
    </row>
    <row r="395" spans="1:8" x14ac:dyDescent="0.25">
      <c r="A395" s="1">
        <v>45902</v>
      </c>
      <c r="B395" t="s">
        <v>24</v>
      </c>
      <c r="C395" t="s">
        <v>38</v>
      </c>
      <c r="D395" t="s">
        <v>22</v>
      </c>
      <c r="E395">
        <v>14</v>
      </c>
      <c r="F395" s="3">
        <v>6328</v>
      </c>
      <c r="G395" t="s">
        <v>27</v>
      </c>
      <c r="H395" t="s">
        <v>23</v>
      </c>
    </row>
    <row r="396" spans="1:8" x14ac:dyDescent="0.25">
      <c r="A396" s="1">
        <v>45640</v>
      </c>
      <c r="B396" t="s">
        <v>42</v>
      </c>
      <c r="C396" t="s">
        <v>35</v>
      </c>
      <c r="D396" t="s">
        <v>36</v>
      </c>
      <c r="E396">
        <v>20</v>
      </c>
      <c r="F396" s="3">
        <v>24320</v>
      </c>
      <c r="G396" t="s">
        <v>27</v>
      </c>
      <c r="H396" t="s">
        <v>28</v>
      </c>
    </row>
    <row r="397" spans="1:8" x14ac:dyDescent="0.25">
      <c r="A397" s="1">
        <v>45033</v>
      </c>
      <c r="B397" t="s">
        <v>40</v>
      </c>
      <c r="C397" t="s">
        <v>41</v>
      </c>
      <c r="D397" t="s">
        <v>26</v>
      </c>
      <c r="E397">
        <v>7</v>
      </c>
      <c r="F397" s="3">
        <v>13678</v>
      </c>
      <c r="G397" t="s">
        <v>16</v>
      </c>
      <c r="H397" t="s">
        <v>12</v>
      </c>
    </row>
    <row r="398" spans="1:8" x14ac:dyDescent="0.25">
      <c r="A398" s="1">
        <v>45875</v>
      </c>
      <c r="B398" t="s">
        <v>46</v>
      </c>
      <c r="C398" t="s">
        <v>44</v>
      </c>
      <c r="D398" t="s">
        <v>45</v>
      </c>
      <c r="E398">
        <v>14</v>
      </c>
      <c r="F398" s="3">
        <v>23702</v>
      </c>
      <c r="G398" t="s">
        <v>31</v>
      </c>
      <c r="H398" t="s">
        <v>23</v>
      </c>
    </row>
    <row r="399" spans="1:8" x14ac:dyDescent="0.25">
      <c r="A399" s="1">
        <v>45530</v>
      </c>
      <c r="B399" t="s">
        <v>46</v>
      </c>
      <c r="C399" t="s">
        <v>37</v>
      </c>
      <c r="D399" t="s">
        <v>15</v>
      </c>
      <c r="E399">
        <v>9</v>
      </c>
      <c r="F399" s="3">
        <v>15651</v>
      </c>
      <c r="G399" t="s">
        <v>16</v>
      </c>
      <c r="H399" t="s">
        <v>23</v>
      </c>
    </row>
    <row r="400" spans="1:8" x14ac:dyDescent="0.25">
      <c r="A400" s="1">
        <v>45599</v>
      </c>
      <c r="B400" t="s">
        <v>8</v>
      </c>
      <c r="C400" t="s">
        <v>21</v>
      </c>
      <c r="D400" t="s">
        <v>22</v>
      </c>
      <c r="E400">
        <v>14</v>
      </c>
      <c r="F400" s="3">
        <v>7196</v>
      </c>
      <c r="G400" t="s">
        <v>11</v>
      </c>
      <c r="H400" t="s">
        <v>34</v>
      </c>
    </row>
    <row r="401" spans="1:8" x14ac:dyDescent="0.25">
      <c r="A401" s="1">
        <v>45582</v>
      </c>
      <c r="B401" t="s">
        <v>33</v>
      </c>
      <c r="C401" t="s">
        <v>21</v>
      </c>
      <c r="D401" t="s">
        <v>22</v>
      </c>
      <c r="E401">
        <v>10</v>
      </c>
      <c r="F401" s="3">
        <v>6860</v>
      </c>
      <c r="G401" t="s">
        <v>27</v>
      </c>
      <c r="H401" t="s">
        <v>28</v>
      </c>
    </row>
    <row r="402" spans="1:8" x14ac:dyDescent="0.25">
      <c r="A402" s="1">
        <v>45516</v>
      </c>
      <c r="B402" t="s">
        <v>46</v>
      </c>
      <c r="C402" t="s">
        <v>21</v>
      </c>
      <c r="D402" t="s">
        <v>22</v>
      </c>
      <c r="E402">
        <v>18</v>
      </c>
      <c r="F402" s="3">
        <v>14256</v>
      </c>
      <c r="G402" t="s">
        <v>39</v>
      </c>
      <c r="H402" t="s">
        <v>28</v>
      </c>
    </row>
    <row r="403" spans="1:8" x14ac:dyDescent="0.25">
      <c r="A403" s="1">
        <v>45749</v>
      </c>
      <c r="B403" t="s">
        <v>40</v>
      </c>
      <c r="C403" t="s">
        <v>21</v>
      </c>
      <c r="D403" t="s">
        <v>22</v>
      </c>
      <c r="E403">
        <v>1</v>
      </c>
      <c r="F403" s="3">
        <v>1655</v>
      </c>
      <c r="G403" t="s">
        <v>11</v>
      </c>
      <c r="H403" t="s">
        <v>23</v>
      </c>
    </row>
    <row r="404" spans="1:8" x14ac:dyDescent="0.25">
      <c r="A404" s="1">
        <v>45734</v>
      </c>
      <c r="B404" t="s">
        <v>48</v>
      </c>
      <c r="C404" t="s">
        <v>30</v>
      </c>
      <c r="D404" t="s">
        <v>15</v>
      </c>
      <c r="E404">
        <v>12</v>
      </c>
      <c r="F404" s="3">
        <v>13152</v>
      </c>
      <c r="G404" t="s">
        <v>39</v>
      </c>
      <c r="H404" t="s">
        <v>17</v>
      </c>
    </row>
    <row r="405" spans="1:8" x14ac:dyDescent="0.25">
      <c r="A405" s="1">
        <v>45212</v>
      </c>
      <c r="B405" t="s">
        <v>33</v>
      </c>
      <c r="C405" t="s">
        <v>35</v>
      </c>
      <c r="D405" t="s">
        <v>36</v>
      </c>
      <c r="E405">
        <v>6</v>
      </c>
      <c r="F405" s="3">
        <v>9444</v>
      </c>
      <c r="G405" t="s">
        <v>31</v>
      </c>
      <c r="H405" t="s">
        <v>28</v>
      </c>
    </row>
    <row r="406" spans="1:8" x14ac:dyDescent="0.25">
      <c r="A406" s="1">
        <v>45485</v>
      </c>
      <c r="B406" t="s">
        <v>20</v>
      </c>
      <c r="C406" t="s">
        <v>44</v>
      </c>
      <c r="D406" t="s">
        <v>45</v>
      </c>
      <c r="E406">
        <v>1</v>
      </c>
      <c r="F406" s="3">
        <v>541</v>
      </c>
      <c r="G406" t="s">
        <v>16</v>
      </c>
      <c r="H406" t="s">
        <v>43</v>
      </c>
    </row>
    <row r="407" spans="1:8" x14ac:dyDescent="0.25">
      <c r="A407" s="1">
        <v>46004</v>
      </c>
      <c r="B407" t="s">
        <v>42</v>
      </c>
      <c r="C407" t="s">
        <v>35</v>
      </c>
      <c r="D407" t="s">
        <v>36</v>
      </c>
      <c r="E407">
        <v>3</v>
      </c>
      <c r="F407" s="3">
        <v>291</v>
      </c>
      <c r="G407" t="s">
        <v>27</v>
      </c>
      <c r="H407" t="s">
        <v>43</v>
      </c>
    </row>
    <row r="408" spans="1:8" x14ac:dyDescent="0.25">
      <c r="A408" s="1">
        <v>45717</v>
      </c>
      <c r="B408" t="s">
        <v>48</v>
      </c>
      <c r="C408" t="s">
        <v>38</v>
      </c>
      <c r="D408" t="s">
        <v>22</v>
      </c>
      <c r="E408">
        <v>20</v>
      </c>
      <c r="F408" s="3">
        <v>4080</v>
      </c>
      <c r="G408" t="s">
        <v>31</v>
      </c>
      <c r="H408" t="s">
        <v>23</v>
      </c>
    </row>
    <row r="409" spans="1:8" x14ac:dyDescent="0.25">
      <c r="A409" s="1">
        <v>45461</v>
      </c>
      <c r="B409" t="s">
        <v>18</v>
      </c>
      <c r="C409" t="s">
        <v>44</v>
      </c>
      <c r="D409" t="s">
        <v>45</v>
      </c>
      <c r="E409">
        <v>10</v>
      </c>
      <c r="F409" s="3">
        <v>11100</v>
      </c>
      <c r="G409" t="s">
        <v>31</v>
      </c>
      <c r="H409" t="s">
        <v>43</v>
      </c>
    </row>
    <row r="410" spans="1:8" x14ac:dyDescent="0.25">
      <c r="A410" s="1">
        <v>45315</v>
      </c>
      <c r="B410" t="s">
        <v>29</v>
      </c>
      <c r="C410" t="s">
        <v>25</v>
      </c>
      <c r="D410" t="s">
        <v>26</v>
      </c>
      <c r="E410">
        <v>19</v>
      </c>
      <c r="F410" s="3">
        <v>34162</v>
      </c>
      <c r="G410" t="s">
        <v>39</v>
      </c>
      <c r="H410" t="s">
        <v>32</v>
      </c>
    </row>
    <row r="411" spans="1:8" x14ac:dyDescent="0.25">
      <c r="A411" s="1">
        <v>45462</v>
      </c>
      <c r="B411" t="s">
        <v>18</v>
      </c>
      <c r="C411" t="s">
        <v>44</v>
      </c>
      <c r="D411" t="s">
        <v>45</v>
      </c>
      <c r="E411">
        <v>17</v>
      </c>
      <c r="F411" s="3">
        <v>23885</v>
      </c>
      <c r="G411" t="s">
        <v>11</v>
      </c>
      <c r="H411" t="s">
        <v>34</v>
      </c>
    </row>
    <row r="412" spans="1:8" x14ac:dyDescent="0.25">
      <c r="A412" s="1">
        <v>45079</v>
      </c>
      <c r="B412" t="s">
        <v>18</v>
      </c>
      <c r="C412" t="s">
        <v>30</v>
      </c>
      <c r="D412" t="s">
        <v>15</v>
      </c>
      <c r="E412">
        <v>1</v>
      </c>
      <c r="F412" s="3">
        <v>830</v>
      </c>
      <c r="G412" t="s">
        <v>11</v>
      </c>
      <c r="H412" t="s">
        <v>17</v>
      </c>
    </row>
    <row r="413" spans="1:8" x14ac:dyDescent="0.25">
      <c r="A413" s="1">
        <v>45457</v>
      </c>
      <c r="B413" t="s">
        <v>18</v>
      </c>
      <c r="C413" t="s">
        <v>21</v>
      </c>
      <c r="D413" t="s">
        <v>22</v>
      </c>
      <c r="E413">
        <v>15</v>
      </c>
      <c r="F413" s="3">
        <v>5430</v>
      </c>
      <c r="G413" t="s">
        <v>16</v>
      </c>
      <c r="H413" t="s">
        <v>12</v>
      </c>
    </row>
    <row r="414" spans="1:8" x14ac:dyDescent="0.25">
      <c r="A414" s="1">
        <v>45233</v>
      </c>
      <c r="B414" t="s">
        <v>8</v>
      </c>
      <c r="C414" t="s">
        <v>25</v>
      </c>
      <c r="D414" t="s">
        <v>26</v>
      </c>
      <c r="E414">
        <v>2</v>
      </c>
      <c r="F414" s="3">
        <v>1658</v>
      </c>
      <c r="G414" t="s">
        <v>31</v>
      </c>
      <c r="H414" t="s">
        <v>34</v>
      </c>
    </row>
    <row r="415" spans="1:8" x14ac:dyDescent="0.25">
      <c r="A415" s="1">
        <v>45676</v>
      </c>
      <c r="B415" t="s">
        <v>29</v>
      </c>
      <c r="C415" t="s">
        <v>35</v>
      </c>
      <c r="D415" t="s">
        <v>36</v>
      </c>
      <c r="E415">
        <v>1</v>
      </c>
      <c r="F415" s="3">
        <v>1971</v>
      </c>
      <c r="G415" t="s">
        <v>27</v>
      </c>
      <c r="H415" t="s">
        <v>34</v>
      </c>
    </row>
    <row r="416" spans="1:8" x14ac:dyDescent="0.25">
      <c r="A416" s="1">
        <v>45501</v>
      </c>
      <c r="B416" t="s">
        <v>20</v>
      </c>
      <c r="C416" t="s">
        <v>38</v>
      </c>
      <c r="D416" t="s">
        <v>22</v>
      </c>
      <c r="E416">
        <v>14</v>
      </c>
      <c r="F416" s="3">
        <v>1722</v>
      </c>
      <c r="G416" t="s">
        <v>11</v>
      </c>
      <c r="H416" t="s">
        <v>23</v>
      </c>
    </row>
    <row r="417" spans="1:8" x14ac:dyDescent="0.25">
      <c r="A417" s="1">
        <v>45089</v>
      </c>
      <c r="B417" t="s">
        <v>18</v>
      </c>
      <c r="C417" t="s">
        <v>35</v>
      </c>
      <c r="D417" t="s">
        <v>36</v>
      </c>
      <c r="E417">
        <v>7</v>
      </c>
      <c r="F417" s="3">
        <v>2135</v>
      </c>
      <c r="G417" t="s">
        <v>39</v>
      </c>
      <c r="H417" t="s">
        <v>32</v>
      </c>
    </row>
    <row r="418" spans="1:8" x14ac:dyDescent="0.25">
      <c r="A418" s="1">
        <v>45876</v>
      </c>
      <c r="B418" t="s">
        <v>46</v>
      </c>
      <c r="C418" t="s">
        <v>38</v>
      </c>
      <c r="D418" t="s">
        <v>22</v>
      </c>
      <c r="E418">
        <v>19</v>
      </c>
      <c r="F418" s="3">
        <v>23503</v>
      </c>
      <c r="G418" t="s">
        <v>31</v>
      </c>
      <c r="H418" t="s">
        <v>23</v>
      </c>
    </row>
    <row r="419" spans="1:8" x14ac:dyDescent="0.25">
      <c r="A419" s="1">
        <v>45538</v>
      </c>
      <c r="B419" t="s">
        <v>24</v>
      </c>
      <c r="C419" t="s">
        <v>38</v>
      </c>
      <c r="D419" t="s">
        <v>22</v>
      </c>
      <c r="E419">
        <v>17</v>
      </c>
      <c r="F419" s="3">
        <v>15113</v>
      </c>
      <c r="G419" t="s">
        <v>39</v>
      </c>
      <c r="H419" t="s">
        <v>43</v>
      </c>
    </row>
    <row r="420" spans="1:8" x14ac:dyDescent="0.25">
      <c r="A420" s="1">
        <v>44965</v>
      </c>
      <c r="B420" t="s">
        <v>47</v>
      </c>
      <c r="C420" t="s">
        <v>25</v>
      </c>
      <c r="D420" t="s">
        <v>26</v>
      </c>
      <c r="E420">
        <v>10</v>
      </c>
      <c r="F420" s="3">
        <v>19040</v>
      </c>
      <c r="G420" t="s">
        <v>27</v>
      </c>
      <c r="H420" t="s">
        <v>28</v>
      </c>
    </row>
    <row r="421" spans="1:8" x14ac:dyDescent="0.25">
      <c r="A421" s="1">
        <v>45142</v>
      </c>
      <c r="B421" t="s">
        <v>46</v>
      </c>
      <c r="C421" t="s">
        <v>35</v>
      </c>
      <c r="D421" t="s">
        <v>36</v>
      </c>
      <c r="E421">
        <v>9</v>
      </c>
      <c r="F421" s="3">
        <v>11754</v>
      </c>
      <c r="G421" t="s">
        <v>11</v>
      </c>
      <c r="H421" t="s">
        <v>32</v>
      </c>
    </row>
    <row r="422" spans="1:8" x14ac:dyDescent="0.25">
      <c r="A422" s="1">
        <v>45814</v>
      </c>
      <c r="B422" t="s">
        <v>18</v>
      </c>
      <c r="C422" t="s">
        <v>44</v>
      </c>
      <c r="D422" t="s">
        <v>45</v>
      </c>
      <c r="E422">
        <v>20</v>
      </c>
      <c r="F422" s="3">
        <v>37260</v>
      </c>
      <c r="G422" t="s">
        <v>27</v>
      </c>
      <c r="H422" t="s">
        <v>43</v>
      </c>
    </row>
    <row r="423" spans="1:8" x14ac:dyDescent="0.25">
      <c r="A423" s="1">
        <v>45407</v>
      </c>
      <c r="B423" t="s">
        <v>40</v>
      </c>
      <c r="C423" t="s">
        <v>35</v>
      </c>
      <c r="D423" t="s">
        <v>36</v>
      </c>
      <c r="E423">
        <v>6</v>
      </c>
      <c r="F423" s="3">
        <v>8808</v>
      </c>
      <c r="G423" t="s">
        <v>39</v>
      </c>
      <c r="H423" t="s">
        <v>23</v>
      </c>
    </row>
    <row r="424" spans="1:8" x14ac:dyDescent="0.25">
      <c r="A424" s="1">
        <v>45124</v>
      </c>
      <c r="B424" t="s">
        <v>20</v>
      </c>
      <c r="C424" t="s">
        <v>30</v>
      </c>
      <c r="D424" t="s">
        <v>15</v>
      </c>
      <c r="E424">
        <v>6</v>
      </c>
      <c r="F424" s="3">
        <v>7998</v>
      </c>
      <c r="G424" t="s">
        <v>16</v>
      </c>
      <c r="H424" t="s">
        <v>34</v>
      </c>
    </row>
    <row r="425" spans="1:8" x14ac:dyDescent="0.25">
      <c r="A425" s="1">
        <v>45841</v>
      </c>
      <c r="B425" t="s">
        <v>20</v>
      </c>
      <c r="C425" t="s">
        <v>9</v>
      </c>
      <c r="D425" t="s">
        <v>10</v>
      </c>
      <c r="E425">
        <v>5</v>
      </c>
      <c r="F425" s="3">
        <v>5255</v>
      </c>
      <c r="G425" t="s">
        <v>11</v>
      </c>
      <c r="H425" t="s">
        <v>17</v>
      </c>
    </row>
    <row r="426" spans="1:8" x14ac:dyDescent="0.25">
      <c r="A426" s="1">
        <v>45890</v>
      </c>
      <c r="B426" t="s">
        <v>46</v>
      </c>
      <c r="C426" t="s">
        <v>21</v>
      </c>
      <c r="D426" t="s">
        <v>22</v>
      </c>
      <c r="E426">
        <v>3</v>
      </c>
      <c r="F426" s="3">
        <v>4365</v>
      </c>
      <c r="G426" t="s">
        <v>27</v>
      </c>
      <c r="H426" t="s">
        <v>34</v>
      </c>
    </row>
    <row r="427" spans="1:8" x14ac:dyDescent="0.25">
      <c r="A427" s="1">
        <v>45117</v>
      </c>
      <c r="B427" t="s">
        <v>20</v>
      </c>
      <c r="C427" t="s">
        <v>44</v>
      </c>
      <c r="D427" t="s">
        <v>45</v>
      </c>
      <c r="E427">
        <v>18</v>
      </c>
      <c r="F427" s="3">
        <v>25326</v>
      </c>
      <c r="G427" t="s">
        <v>11</v>
      </c>
      <c r="H427" t="s">
        <v>17</v>
      </c>
    </row>
    <row r="428" spans="1:8" x14ac:dyDescent="0.25">
      <c r="A428" s="1">
        <v>45575</v>
      </c>
      <c r="B428" t="s">
        <v>33</v>
      </c>
      <c r="C428" t="s">
        <v>35</v>
      </c>
      <c r="D428" t="s">
        <v>36</v>
      </c>
      <c r="E428">
        <v>18</v>
      </c>
      <c r="F428" s="3">
        <v>21114</v>
      </c>
      <c r="G428" t="s">
        <v>11</v>
      </c>
      <c r="H428" t="s">
        <v>43</v>
      </c>
    </row>
    <row r="429" spans="1:8" x14ac:dyDescent="0.25">
      <c r="A429" s="1">
        <v>45645</v>
      </c>
      <c r="B429" t="s">
        <v>42</v>
      </c>
      <c r="C429" t="s">
        <v>9</v>
      </c>
      <c r="D429" t="s">
        <v>10</v>
      </c>
      <c r="E429">
        <v>14</v>
      </c>
      <c r="F429" s="3">
        <v>6636</v>
      </c>
      <c r="G429" t="s">
        <v>27</v>
      </c>
      <c r="H429" t="s">
        <v>28</v>
      </c>
    </row>
    <row r="430" spans="1:8" x14ac:dyDescent="0.25">
      <c r="A430" s="1">
        <v>45454</v>
      </c>
      <c r="B430" t="s">
        <v>18</v>
      </c>
      <c r="C430" t="s">
        <v>44</v>
      </c>
      <c r="D430" t="s">
        <v>45</v>
      </c>
      <c r="E430">
        <v>11</v>
      </c>
      <c r="F430" s="3">
        <v>17567</v>
      </c>
      <c r="G430" t="s">
        <v>27</v>
      </c>
      <c r="H430" t="s">
        <v>34</v>
      </c>
    </row>
    <row r="431" spans="1:8" x14ac:dyDescent="0.25">
      <c r="A431" s="1">
        <v>45079</v>
      </c>
      <c r="B431" t="s">
        <v>18</v>
      </c>
      <c r="C431" t="s">
        <v>38</v>
      </c>
      <c r="D431" t="s">
        <v>22</v>
      </c>
      <c r="E431">
        <v>16</v>
      </c>
      <c r="F431" s="3">
        <v>19152</v>
      </c>
      <c r="G431" t="s">
        <v>27</v>
      </c>
      <c r="H431" t="s">
        <v>43</v>
      </c>
    </row>
    <row r="432" spans="1:8" x14ac:dyDescent="0.25">
      <c r="A432" s="1">
        <v>45049</v>
      </c>
      <c r="B432" t="s">
        <v>13</v>
      </c>
      <c r="C432" t="s">
        <v>44</v>
      </c>
      <c r="D432" t="s">
        <v>45</v>
      </c>
      <c r="E432">
        <v>1</v>
      </c>
      <c r="F432" s="3">
        <v>206</v>
      </c>
      <c r="G432" t="s">
        <v>39</v>
      </c>
      <c r="H432" t="s">
        <v>19</v>
      </c>
    </row>
    <row r="433" spans="1:8" x14ac:dyDescent="0.25">
      <c r="A433" s="1">
        <v>45538</v>
      </c>
      <c r="B433" t="s">
        <v>24</v>
      </c>
      <c r="C433" t="s">
        <v>21</v>
      </c>
      <c r="D433" t="s">
        <v>22</v>
      </c>
      <c r="E433">
        <v>1</v>
      </c>
      <c r="F433" s="3">
        <v>1126</v>
      </c>
      <c r="G433" t="s">
        <v>31</v>
      </c>
      <c r="H433" t="s">
        <v>28</v>
      </c>
    </row>
    <row r="434" spans="1:8" x14ac:dyDescent="0.25">
      <c r="A434" s="1">
        <v>45795</v>
      </c>
      <c r="B434" t="s">
        <v>13</v>
      </c>
      <c r="C434" t="s">
        <v>25</v>
      </c>
      <c r="D434" t="s">
        <v>26</v>
      </c>
      <c r="E434">
        <v>18</v>
      </c>
      <c r="F434" s="3">
        <v>31410</v>
      </c>
      <c r="G434" t="s">
        <v>39</v>
      </c>
      <c r="H434" t="s">
        <v>32</v>
      </c>
    </row>
    <row r="435" spans="1:8" x14ac:dyDescent="0.25">
      <c r="A435" s="1">
        <v>44993</v>
      </c>
      <c r="B435" t="s">
        <v>48</v>
      </c>
      <c r="C435" t="s">
        <v>14</v>
      </c>
      <c r="D435" t="s">
        <v>15</v>
      </c>
      <c r="E435">
        <v>12</v>
      </c>
      <c r="F435" s="3">
        <v>22644</v>
      </c>
      <c r="G435" t="s">
        <v>16</v>
      </c>
      <c r="H435" t="s">
        <v>19</v>
      </c>
    </row>
    <row r="436" spans="1:8" x14ac:dyDescent="0.25">
      <c r="A436" s="1">
        <v>45375</v>
      </c>
      <c r="B436" t="s">
        <v>48</v>
      </c>
      <c r="C436" t="s">
        <v>14</v>
      </c>
      <c r="D436" t="s">
        <v>15</v>
      </c>
      <c r="E436">
        <v>3</v>
      </c>
      <c r="F436" s="3">
        <v>648</v>
      </c>
      <c r="G436" t="s">
        <v>16</v>
      </c>
      <c r="H436" t="s">
        <v>19</v>
      </c>
    </row>
    <row r="437" spans="1:8" x14ac:dyDescent="0.25">
      <c r="A437" s="1">
        <v>45607</v>
      </c>
      <c r="B437" t="s">
        <v>8</v>
      </c>
      <c r="C437" t="s">
        <v>41</v>
      </c>
      <c r="D437" t="s">
        <v>26</v>
      </c>
      <c r="E437">
        <v>6</v>
      </c>
      <c r="F437" s="3">
        <v>7362</v>
      </c>
      <c r="G437" t="s">
        <v>39</v>
      </c>
      <c r="H437" t="s">
        <v>43</v>
      </c>
    </row>
    <row r="438" spans="1:8" x14ac:dyDescent="0.25">
      <c r="A438" s="1">
        <v>45351</v>
      </c>
      <c r="B438" t="s">
        <v>47</v>
      </c>
      <c r="C438" t="s">
        <v>35</v>
      </c>
      <c r="D438" t="s">
        <v>36</v>
      </c>
      <c r="E438">
        <v>19</v>
      </c>
      <c r="F438" s="3">
        <v>28443</v>
      </c>
      <c r="G438" t="s">
        <v>31</v>
      </c>
      <c r="H438" t="s">
        <v>43</v>
      </c>
    </row>
    <row r="439" spans="1:8" x14ac:dyDescent="0.25">
      <c r="A439" s="1">
        <v>45027</v>
      </c>
      <c r="B439" t="s">
        <v>40</v>
      </c>
      <c r="C439" t="s">
        <v>35</v>
      </c>
      <c r="D439" t="s">
        <v>36</v>
      </c>
      <c r="E439">
        <v>15</v>
      </c>
      <c r="F439" s="3">
        <v>22350</v>
      </c>
      <c r="G439" t="s">
        <v>27</v>
      </c>
      <c r="H439" t="s">
        <v>23</v>
      </c>
    </row>
    <row r="440" spans="1:8" x14ac:dyDescent="0.25">
      <c r="A440" s="1">
        <v>45334</v>
      </c>
      <c r="B440" t="s">
        <v>47</v>
      </c>
      <c r="C440" t="s">
        <v>14</v>
      </c>
      <c r="D440" t="s">
        <v>15</v>
      </c>
      <c r="E440">
        <v>5</v>
      </c>
      <c r="F440" s="3">
        <v>8005</v>
      </c>
      <c r="G440" t="s">
        <v>31</v>
      </c>
      <c r="H440" t="s">
        <v>19</v>
      </c>
    </row>
    <row r="441" spans="1:8" x14ac:dyDescent="0.25">
      <c r="A441" s="1">
        <v>45392</v>
      </c>
      <c r="B441" t="s">
        <v>40</v>
      </c>
      <c r="C441" t="s">
        <v>41</v>
      </c>
      <c r="D441" t="s">
        <v>26</v>
      </c>
      <c r="E441">
        <v>5</v>
      </c>
      <c r="F441" s="3">
        <v>2170</v>
      </c>
      <c r="G441" t="s">
        <v>39</v>
      </c>
      <c r="H441" t="s">
        <v>34</v>
      </c>
    </row>
    <row r="442" spans="1:8" x14ac:dyDescent="0.25">
      <c r="A442" s="1">
        <v>45783</v>
      </c>
      <c r="B442" t="s">
        <v>13</v>
      </c>
      <c r="C442" t="s">
        <v>30</v>
      </c>
      <c r="D442" t="s">
        <v>15</v>
      </c>
      <c r="E442">
        <v>11</v>
      </c>
      <c r="F442" s="3">
        <v>14300</v>
      </c>
      <c r="G442" t="s">
        <v>16</v>
      </c>
      <c r="H442" t="s">
        <v>12</v>
      </c>
    </row>
    <row r="443" spans="1:8" x14ac:dyDescent="0.25">
      <c r="A443" s="1">
        <v>45355</v>
      </c>
      <c r="B443" t="s">
        <v>48</v>
      </c>
      <c r="C443" t="s">
        <v>35</v>
      </c>
      <c r="D443" t="s">
        <v>36</v>
      </c>
      <c r="E443">
        <v>8</v>
      </c>
      <c r="F443" s="3">
        <v>5280</v>
      </c>
      <c r="G443" t="s">
        <v>11</v>
      </c>
      <c r="H443" t="s">
        <v>23</v>
      </c>
    </row>
    <row r="444" spans="1:8" x14ac:dyDescent="0.25">
      <c r="A444" s="1">
        <v>45633</v>
      </c>
      <c r="B444" t="s">
        <v>42</v>
      </c>
      <c r="C444" t="s">
        <v>9</v>
      </c>
      <c r="D444" t="s">
        <v>10</v>
      </c>
      <c r="E444">
        <v>19</v>
      </c>
      <c r="F444" s="3">
        <v>27531</v>
      </c>
      <c r="G444" t="s">
        <v>16</v>
      </c>
      <c r="H444" t="s">
        <v>12</v>
      </c>
    </row>
    <row r="445" spans="1:8" x14ac:dyDescent="0.25">
      <c r="A445" s="1">
        <v>45160</v>
      </c>
      <c r="B445" t="s">
        <v>46</v>
      </c>
      <c r="C445" t="s">
        <v>21</v>
      </c>
      <c r="D445" t="s">
        <v>22</v>
      </c>
      <c r="E445">
        <v>18</v>
      </c>
      <c r="F445" s="3">
        <v>16308</v>
      </c>
      <c r="G445" t="s">
        <v>27</v>
      </c>
      <c r="H445" t="s">
        <v>34</v>
      </c>
    </row>
    <row r="446" spans="1:8" x14ac:dyDescent="0.25">
      <c r="A446" s="1">
        <v>45647</v>
      </c>
      <c r="B446" t="s">
        <v>42</v>
      </c>
      <c r="C446" t="s">
        <v>41</v>
      </c>
      <c r="D446" t="s">
        <v>26</v>
      </c>
      <c r="E446">
        <v>5</v>
      </c>
      <c r="F446" s="3">
        <v>3445</v>
      </c>
      <c r="G446" t="s">
        <v>11</v>
      </c>
      <c r="H446" t="s">
        <v>23</v>
      </c>
    </row>
    <row r="447" spans="1:8" x14ac:dyDescent="0.25">
      <c r="A447" s="1">
        <v>46006</v>
      </c>
      <c r="B447" t="s">
        <v>42</v>
      </c>
      <c r="C447" t="s">
        <v>14</v>
      </c>
      <c r="D447" t="s">
        <v>15</v>
      </c>
      <c r="E447">
        <v>10</v>
      </c>
      <c r="F447" s="3">
        <v>8030</v>
      </c>
      <c r="G447" t="s">
        <v>11</v>
      </c>
      <c r="H447" t="s">
        <v>32</v>
      </c>
    </row>
    <row r="448" spans="1:8" x14ac:dyDescent="0.25">
      <c r="A448" s="1">
        <v>45299</v>
      </c>
      <c r="B448" t="s">
        <v>29</v>
      </c>
      <c r="C448" t="s">
        <v>25</v>
      </c>
      <c r="D448" t="s">
        <v>26</v>
      </c>
      <c r="E448">
        <v>20</v>
      </c>
      <c r="F448" s="3">
        <v>27420</v>
      </c>
      <c r="G448" t="s">
        <v>16</v>
      </c>
      <c r="H448" t="s">
        <v>23</v>
      </c>
    </row>
    <row r="449" spans="1:8" x14ac:dyDescent="0.25">
      <c r="A449" s="1">
        <v>45801</v>
      </c>
      <c r="B449" t="s">
        <v>13</v>
      </c>
      <c r="C449" t="s">
        <v>44</v>
      </c>
      <c r="D449" t="s">
        <v>45</v>
      </c>
      <c r="E449">
        <v>11</v>
      </c>
      <c r="F449" s="3">
        <v>3883</v>
      </c>
      <c r="G449" t="s">
        <v>27</v>
      </c>
      <c r="H449" t="s">
        <v>19</v>
      </c>
    </row>
    <row r="450" spans="1:8" x14ac:dyDescent="0.25">
      <c r="A450" s="1">
        <v>45491</v>
      </c>
      <c r="B450" t="s">
        <v>20</v>
      </c>
      <c r="C450" t="s">
        <v>35</v>
      </c>
      <c r="D450" t="s">
        <v>36</v>
      </c>
      <c r="E450">
        <v>15</v>
      </c>
      <c r="F450" s="3">
        <v>8325</v>
      </c>
      <c r="G450" t="s">
        <v>11</v>
      </c>
      <c r="H450" t="s">
        <v>28</v>
      </c>
    </row>
    <row r="451" spans="1:8" x14ac:dyDescent="0.25">
      <c r="A451" s="1">
        <v>45908</v>
      </c>
      <c r="B451" t="s">
        <v>24</v>
      </c>
      <c r="C451" t="s">
        <v>14</v>
      </c>
      <c r="D451" t="s">
        <v>15</v>
      </c>
      <c r="E451">
        <v>10</v>
      </c>
      <c r="F451" s="3">
        <v>17200</v>
      </c>
      <c r="G451" t="s">
        <v>39</v>
      </c>
      <c r="H451" t="s">
        <v>23</v>
      </c>
    </row>
    <row r="452" spans="1:8" x14ac:dyDescent="0.25">
      <c r="A452" s="1">
        <v>45587</v>
      </c>
      <c r="B452" t="s">
        <v>33</v>
      </c>
      <c r="C452" t="s">
        <v>37</v>
      </c>
      <c r="D452" t="s">
        <v>15</v>
      </c>
      <c r="E452">
        <v>18</v>
      </c>
      <c r="F452" s="3">
        <v>13716</v>
      </c>
      <c r="G452" t="s">
        <v>27</v>
      </c>
      <c r="H452" t="s">
        <v>28</v>
      </c>
    </row>
    <row r="453" spans="1:8" x14ac:dyDescent="0.25">
      <c r="A453" s="1">
        <v>45988</v>
      </c>
      <c r="B453" t="s">
        <v>8</v>
      </c>
      <c r="C453" t="s">
        <v>35</v>
      </c>
      <c r="D453" t="s">
        <v>36</v>
      </c>
      <c r="E453">
        <v>2</v>
      </c>
      <c r="F453" s="3">
        <v>3376</v>
      </c>
      <c r="G453" t="s">
        <v>16</v>
      </c>
      <c r="H453" t="s">
        <v>32</v>
      </c>
    </row>
    <row r="454" spans="1:8" x14ac:dyDescent="0.25">
      <c r="A454" s="1">
        <v>45679</v>
      </c>
      <c r="B454" t="s">
        <v>29</v>
      </c>
      <c r="C454" t="s">
        <v>21</v>
      </c>
      <c r="D454" t="s">
        <v>22</v>
      </c>
      <c r="E454">
        <v>7</v>
      </c>
      <c r="F454" s="3">
        <v>6454</v>
      </c>
      <c r="G454" t="s">
        <v>27</v>
      </c>
      <c r="H454" t="s">
        <v>34</v>
      </c>
    </row>
    <row r="455" spans="1:8" x14ac:dyDescent="0.25">
      <c r="A455" s="1">
        <v>45162</v>
      </c>
      <c r="B455" t="s">
        <v>46</v>
      </c>
      <c r="C455" t="s">
        <v>41</v>
      </c>
      <c r="D455" t="s">
        <v>26</v>
      </c>
      <c r="E455">
        <v>2</v>
      </c>
      <c r="F455" s="3">
        <v>3446</v>
      </c>
      <c r="G455" t="s">
        <v>31</v>
      </c>
      <c r="H455" t="s">
        <v>43</v>
      </c>
    </row>
    <row r="456" spans="1:8" x14ac:dyDescent="0.25">
      <c r="A456" s="1">
        <v>45159</v>
      </c>
      <c r="B456" t="s">
        <v>46</v>
      </c>
      <c r="C456" t="s">
        <v>35</v>
      </c>
      <c r="D456" t="s">
        <v>36</v>
      </c>
      <c r="E456">
        <v>5</v>
      </c>
      <c r="F456" s="3">
        <v>1495</v>
      </c>
      <c r="G456" t="s">
        <v>11</v>
      </c>
      <c r="H456" t="s">
        <v>19</v>
      </c>
    </row>
    <row r="457" spans="1:8" x14ac:dyDescent="0.25">
      <c r="A457" s="1">
        <v>45816</v>
      </c>
      <c r="B457" t="s">
        <v>18</v>
      </c>
      <c r="C457" t="s">
        <v>41</v>
      </c>
      <c r="D457" t="s">
        <v>26</v>
      </c>
      <c r="E457">
        <v>2</v>
      </c>
      <c r="F457" s="3">
        <v>758</v>
      </c>
      <c r="G457" t="s">
        <v>11</v>
      </c>
      <c r="H457" t="s">
        <v>28</v>
      </c>
    </row>
    <row r="458" spans="1:8" x14ac:dyDescent="0.25">
      <c r="A458" s="1">
        <v>45494</v>
      </c>
      <c r="B458" t="s">
        <v>20</v>
      </c>
      <c r="C458" t="s">
        <v>30</v>
      </c>
      <c r="D458" t="s">
        <v>15</v>
      </c>
      <c r="E458">
        <v>11</v>
      </c>
      <c r="F458" s="3">
        <v>1969</v>
      </c>
      <c r="G458" t="s">
        <v>16</v>
      </c>
      <c r="H458" t="s">
        <v>23</v>
      </c>
    </row>
    <row r="459" spans="1:8" x14ac:dyDescent="0.25">
      <c r="A459" s="1">
        <v>45744</v>
      </c>
      <c r="B459" t="s">
        <v>48</v>
      </c>
      <c r="C459" t="s">
        <v>35</v>
      </c>
      <c r="D459" t="s">
        <v>36</v>
      </c>
      <c r="E459">
        <v>8</v>
      </c>
      <c r="F459" s="3">
        <v>15096</v>
      </c>
      <c r="G459" t="s">
        <v>16</v>
      </c>
      <c r="H459" t="s">
        <v>12</v>
      </c>
    </row>
    <row r="460" spans="1:8" x14ac:dyDescent="0.25">
      <c r="A460" s="1">
        <v>45036</v>
      </c>
      <c r="B460" t="s">
        <v>40</v>
      </c>
      <c r="C460" t="s">
        <v>41</v>
      </c>
      <c r="D460" t="s">
        <v>26</v>
      </c>
      <c r="E460">
        <v>19</v>
      </c>
      <c r="F460" s="3">
        <v>1140</v>
      </c>
      <c r="G460" t="s">
        <v>16</v>
      </c>
      <c r="H460" t="s">
        <v>34</v>
      </c>
    </row>
    <row r="461" spans="1:8" x14ac:dyDescent="0.25">
      <c r="A461" s="1">
        <v>45034</v>
      </c>
      <c r="B461" t="s">
        <v>40</v>
      </c>
      <c r="C461" t="s">
        <v>30</v>
      </c>
      <c r="D461" t="s">
        <v>15</v>
      </c>
      <c r="E461">
        <v>9</v>
      </c>
      <c r="F461" s="3">
        <v>3762</v>
      </c>
      <c r="G461" t="s">
        <v>16</v>
      </c>
      <c r="H461" t="s">
        <v>28</v>
      </c>
    </row>
    <row r="462" spans="1:8" x14ac:dyDescent="0.25">
      <c r="A462" s="1">
        <v>45580</v>
      </c>
      <c r="B462" t="s">
        <v>33</v>
      </c>
      <c r="C462" t="s">
        <v>25</v>
      </c>
      <c r="D462" t="s">
        <v>26</v>
      </c>
      <c r="E462">
        <v>14</v>
      </c>
      <c r="F462" s="3">
        <v>17122</v>
      </c>
      <c r="G462" t="s">
        <v>16</v>
      </c>
      <c r="H462" t="s">
        <v>34</v>
      </c>
    </row>
    <row r="463" spans="1:8" x14ac:dyDescent="0.25">
      <c r="A463" s="1">
        <v>45868</v>
      </c>
      <c r="B463" t="s">
        <v>20</v>
      </c>
      <c r="C463" t="s">
        <v>35</v>
      </c>
      <c r="D463" t="s">
        <v>36</v>
      </c>
      <c r="E463">
        <v>7</v>
      </c>
      <c r="F463" s="3">
        <v>6608</v>
      </c>
      <c r="G463" t="s">
        <v>16</v>
      </c>
      <c r="H463" t="s">
        <v>12</v>
      </c>
    </row>
    <row r="464" spans="1:8" x14ac:dyDescent="0.25">
      <c r="A464" s="1">
        <v>45406</v>
      </c>
      <c r="B464" t="s">
        <v>40</v>
      </c>
      <c r="C464" t="s">
        <v>37</v>
      </c>
      <c r="D464" t="s">
        <v>15</v>
      </c>
      <c r="E464">
        <v>2</v>
      </c>
      <c r="F464" s="3">
        <v>2370</v>
      </c>
      <c r="G464" t="s">
        <v>16</v>
      </c>
      <c r="H464" t="s">
        <v>19</v>
      </c>
    </row>
    <row r="465" spans="1:8" x14ac:dyDescent="0.25">
      <c r="A465" s="1">
        <v>45602</v>
      </c>
      <c r="B465" t="s">
        <v>8</v>
      </c>
      <c r="C465" t="s">
        <v>37</v>
      </c>
      <c r="D465" t="s">
        <v>15</v>
      </c>
      <c r="E465">
        <v>2</v>
      </c>
      <c r="F465" s="3">
        <v>3666</v>
      </c>
      <c r="G465" t="s">
        <v>31</v>
      </c>
      <c r="H465" t="s">
        <v>28</v>
      </c>
    </row>
    <row r="466" spans="1:8" x14ac:dyDescent="0.25">
      <c r="A466" s="1">
        <v>45412</v>
      </c>
      <c r="B466" t="s">
        <v>40</v>
      </c>
      <c r="C466" t="s">
        <v>38</v>
      </c>
      <c r="D466" t="s">
        <v>22</v>
      </c>
      <c r="E466">
        <v>9</v>
      </c>
      <c r="F466" s="3">
        <v>6579</v>
      </c>
      <c r="G466" t="s">
        <v>16</v>
      </c>
      <c r="H466" t="s">
        <v>12</v>
      </c>
    </row>
    <row r="467" spans="1:8" x14ac:dyDescent="0.25">
      <c r="A467" s="1">
        <v>45620</v>
      </c>
      <c r="B467" t="s">
        <v>8</v>
      </c>
      <c r="C467" t="s">
        <v>38</v>
      </c>
      <c r="D467" t="s">
        <v>22</v>
      </c>
      <c r="E467">
        <v>9</v>
      </c>
      <c r="F467" s="3">
        <v>13284</v>
      </c>
      <c r="G467" t="s">
        <v>39</v>
      </c>
      <c r="H467" t="s">
        <v>12</v>
      </c>
    </row>
    <row r="468" spans="1:8" x14ac:dyDescent="0.25">
      <c r="A468" s="1">
        <v>45942</v>
      </c>
      <c r="B468" t="s">
        <v>33</v>
      </c>
      <c r="C468" t="s">
        <v>14</v>
      </c>
      <c r="D468" t="s">
        <v>15</v>
      </c>
      <c r="E468">
        <v>4</v>
      </c>
      <c r="F468" s="3">
        <v>6492</v>
      </c>
      <c r="G468" t="s">
        <v>11</v>
      </c>
      <c r="H468" t="s">
        <v>34</v>
      </c>
    </row>
    <row r="469" spans="1:8" x14ac:dyDescent="0.25">
      <c r="A469" s="1">
        <v>45717</v>
      </c>
      <c r="B469" t="s">
        <v>48</v>
      </c>
      <c r="C469" t="s">
        <v>38</v>
      </c>
      <c r="D469" t="s">
        <v>22</v>
      </c>
      <c r="E469">
        <v>8</v>
      </c>
      <c r="F469" s="3">
        <v>6088</v>
      </c>
      <c r="G469" t="s">
        <v>39</v>
      </c>
      <c r="H469" t="s">
        <v>34</v>
      </c>
    </row>
    <row r="470" spans="1:8" x14ac:dyDescent="0.25">
      <c r="A470" s="1">
        <v>45353</v>
      </c>
      <c r="B470" t="s">
        <v>48</v>
      </c>
      <c r="C470" t="s">
        <v>41</v>
      </c>
      <c r="D470" t="s">
        <v>26</v>
      </c>
      <c r="E470">
        <v>10</v>
      </c>
      <c r="F470" s="3">
        <v>9090</v>
      </c>
      <c r="G470" t="s">
        <v>39</v>
      </c>
      <c r="H470" t="s">
        <v>23</v>
      </c>
    </row>
    <row r="471" spans="1:8" x14ac:dyDescent="0.25">
      <c r="A471" s="1">
        <v>45298</v>
      </c>
      <c r="B471" t="s">
        <v>29</v>
      </c>
      <c r="C471" t="s">
        <v>25</v>
      </c>
      <c r="D471" t="s">
        <v>26</v>
      </c>
      <c r="E471">
        <v>4</v>
      </c>
      <c r="F471" s="3">
        <v>2588</v>
      </c>
      <c r="G471" t="s">
        <v>27</v>
      </c>
      <c r="H471" t="s">
        <v>43</v>
      </c>
    </row>
    <row r="472" spans="1:8" x14ac:dyDescent="0.25">
      <c r="A472" s="1">
        <v>45280</v>
      </c>
      <c r="B472" t="s">
        <v>42</v>
      </c>
      <c r="C472" t="s">
        <v>30</v>
      </c>
      <c r="D472" t="s">
        <v>15</v>
      </c>
      <c r="E472">
        <v>20</v>
      </c>
      <c r="F472" s="3">
        <v>33380</v>
      </c>
      <c r="G472" t="s">
        <v>31</v>
      </c>
      <c r="H472" t="s">
        <v>43</v>
      </c>
    </row>
    <row r="473" spans="1:8" x14ac:dyDescent="0.25">
      <c r="A473" s="1">
        <v>45303</v>
      </c>
      <c r="B473" t="s">
        <v>29</v>
      </c>
      <c r="C473" t="s">
        <v>14</v>
      </c>
      <c r="D473" t="s">
        <v>15</v>
      </c>
      <c r="E473">
        <v>13</v>
      </c>
      <c r="F473" s="3">
        <v>17433</v>
      </c>
      <c r="G473" t="s">
        <v>27</v>
      </c>
      <c r="H473" t="s">
        <v>32</v>
      </c>
    </row>
    <row r="474" spans="1:8" x14ac:dyDescent="0.25">
      <c r="A474" s="1">
        <v>45100</v>
      </c>
      <c r="B474" t="s">
        <v>18</v>
      </c>
      <c r="C474" t="s">
        <v>25</v>
      </c>
      <c r="D474" t="s">
        <v>26</v>
      </c>
      <c r="E474">
        <v>3</v>
      </c>
      <c r="F474" s="3">
        <v>5706</v>
      </c>
      <c r="G474" t="s">
        <v>16</v>
      </c>
      <c r="H474" t="s">
        <v>17</v>
      </c>
    </row>
    <row r="475" spans="1:8" x14ac:dyDescent="0.25">
      <c r="A475" s="1">
        <v>45460</v>
      </c>
      <c r="B475" t="s">
        <v>18</v>
      </c>
      <c r="C475" t="s">
        <v>30</v>
      </c>
      <c r="D475" t="s">
        <v>15</v>
      </c>
      <c r="E475">
        <v>2</v>
      </c>
      <c r="F475" s="3">
        <v>2742</v>
      </c>
      <c r="G475" t="s">
        <v>39</v>
      </c>
      <c r="H475" t="s">
        <v>32</v>
      </c>
    </row>
    <row r="476" spans="1:8" x14ac:dyDescent="0.25">
      <c r="A476" s="1">
        <v>45769</v>
      </c>
      <c r="B476" t="s">
        <v>40</v>
      </c>
      <c r="C476" t="s">
        <v>14</v>
      </c>
      <c r="D476" t="s">
        <v>15</v>
      </c>
      <c r="E476">
        <v>3</v>
      </c>
      <c r="F476" s="3">
        <v>5379</v>
      </c>
      <c r="G476" t="s">
        <v>31</v>
      </c>
      <c r="H476" t="s">
        <v>12</v>
      </c>
    </row>
    <row r="477" spans="1:8" x14ac:dyDescent="0.25">
      <c r="A477" s="1">
        <v>46009</v>
      </c>
      <c r="B477" t="s">
        <v>42</v>
      </c>
      <c r="C477" t="s">
        <v>41</v>
      </c>
      <c r="D477" t="s">
        <v>26</v>
      </c>
      <c r="E477">
        <v>3</v>
      </c>
      <c r="F477" s="3">
        <v>492</v>
      </c>
      <c r="G477" t="s">
        <v>27</v>
      </c>
      <c r="H477" t="s">
        <v>28</v>
      </c>
    </row>
    <row r="478" spans="1:8" x14ac:dyDescent="0.25">
      <c r="A478" s="1">
        <v>45645</v>
      </c>
      <c r="B478" t="s">
        <v>42</v>
      </c>
      <c r="C478" t="s">
        <v>25</v>
      </c>
      <c r="D478" t="s">
        <v>26</v>
      </c>
      <c r="E478">
        <v>7</v>
      </c>
      <c r="F478" s="3">
        <v>10633</v>
      </c>
      <c r="G478" t="s">
        <v>11</v>
      </c>
      <c r="H478" t="s">
        <v>23</v>
      </c>
    </row>
    <row r="479" spans="1:8" x14ac:dyDescent="0.25">
      <c r="A479" s="1">
        <v>45662</v>
      </c>
      <c r="B479" t="s">
        <v>29</v>
      </c>
      <c r="C479" t="s">
        <v>44</v>
      </c>
      <c r="D479" t="s">
        <v>45</v>
      </c>
      <c r="E479">
        <v>13</v>
      </c>
      <c r="F479" s="3">
        <v>6006</v>
      </c>
      <c r="G479" t="s">
        <v>31</v>
      </c>
      <c r="H479" t="s">
        <v>34</v>
      </c>
    </row>
    <row r="480" spans="1:8" x14ac:dyDescent="0.25">
      <c r="A480" s="1">
        <v>45142</v>
      </c>
      <c r="B480" t="s">
        <v>46</v>
      </c>
      <c r="C480" t="s">
        <v>25</v>
      </c>
      <c r="D480" t="s">
        <v>26</v>
      </c>
      <c r="E480">
        <v>6</v>
      </c>
      <c r="F480" s="3">
        <v>5592</v>
      </c>
      <c r="G480" t="s">
        <v>39</v>
      </c>
      <c r="H480" t="s">
        <v>32</v>
      </c>
    </row>
    <row r="481" spans="1:8" x14ac:dyDescent="0.25">
      <c r="A481" s="1">
        <v>45693</v>
      </c>
      <c r="B481" t="s">
        <v>47</v>
      </c>
      <c r="C481" t="s">
        <v>44</v>
      </c>
      <c r="D481" t="s">
        <v>45</v>
      </c>
      <c r="E481">
        <v>11</v>
      </c>
      <c r="F481" s="3">
        <v>20416</v>
      </c>
      <c r="G481" t="s">
        <v>39</v>
      </c>
      <c r="H481" t="s">
        <v>28</v>
      </c>
    </row>
    <row r="482" spans="1:8" x14ac:dyDescent="0.25">
      <c r="A482" s="1">
        <v>46018</v>
      </c>
      <c r="B482" t="s">
        <v>42</v>
      </c>
      <c r="C482" t="s">
        <v>35</v>
      </c>
      <c r="D482" t="s">
        <v>36</v>
      </c>
      <c r="E482">
        <v>2</v>
      </c>
      <c r="F482" s="3">
        <v>3990</v>
      </c>
      <c r="G482" t="s">
        <v>27</v>
      </c>
      <c r="H482" t="s">
        <v>28</v>
      </c>
    </row>
    <row r="483" spans="1:8" x14ac:dyDescent="0.25">
      <c r="A483" s="1">
        <v>45334</v>
      </c>
      <c r="B483" t="s">
        <v>47</v>
      </c>
      <c r="C483" t="s">
        <v>38</v>
      </c>
      <c r="D483" t="s">
        <v>22</v>
      </c>
      <c r="E483">
        <v>7</v>
      </c>
      <c r="F483" s="3">
        <v>5096</v>
      </c>
      <c r="G483" t="s">
        <v>11</v>
      </c>
      <c r="H483" t="s">
        <v>34</v>
      </c>
    </row>
    <row r="484" spans="1:8" x14ac:dyDescent="0.25">
      <c r="A484" s="1">
        <v>45248</v>
      </c>
      <c r="B484" t="s">
        <v>8</v>
      </c>
      <c r="C484" t="s">
        <v>9</v>
      </c>
      <c r="D484" t="s">
        <v>10</v>
      </c>
      <c r="E484">
        <v>6</v>
      </c>
      <c r="F484" s="3">
        <v>2004</v>
      </c>
      <c r="G484" t="s">
        <v>11</v>
      </c>
      <c r="H484" t="s">
        <v>28</v>
      </c>
    </row>
    <row r="485" spans="1:8" x14ac:dyDescent="0.25">
      <c r="A485" s="1">
        <v>45408</v>
      </c>
      <c r="B485" t="s">
        <v>40</v>
      </c>
      <c r="C485" t="s">
        <v>37</v>
      </c>
      <c r="D485" t="s">
        <v>15</v>
      </c>
      <c r="E485">
        <v>11</v>
      </c>
      <c r="F485" s="3">
        <v>14311</v>
      </c>
      <c r="G485" t="s">
        <v>27</v>
      </c>
      <c r="H485" t="s">
        <v>43</v>
      </c>
    </row>
    <row r="486" spans="1:8" x14ac:dyDescent="0.25">
      <c r="A486" s="1">
        <v>45765</v>
      </c>
      <c r="B486" t="s">
        <v>40</v>
      </c>
      <c r="C486" t="s">
        <v>35</v>
      </c>
      <c r="D486" t="s">
        <v>36</v>
      </c>
      <c r="E486">
        <v>4</v>
      </c>
      <c r="F486" s="3">
        <v>5908</v>
      </c>
      <c r="G486" t="s">
        <v>27</v>
      </c>
      <c r="H486" t="s">
        <v>28</v>
      </c>
    </row>
    <row r="487" spans="1:8" x14ac:dyDescent="0.25">
      <c r="A487" s="1">
        <v>45846</v>
      </c>
      <c r="B487" t="s">
        <v>20</v>
      </c>
      <c r="C487" t="s">
        <v>9</v>
      </c>
      <c r="D487" t="s">
        <v>10</v>
      </c>
      <c r="E487">
        <v>2</v>
      </c>
      <c r="F487" s="3">
        <v>2814</v>
      </c>
      <c r="G487" t="s">
        <v>16</v>
      </c>
      <c r="H487" t="s">
        <v>12</v>
      </c>
    </row>
    <row r="488" spans="1:8" x14ac:dyDescent="0.25">
      <c r="A488" s="1">
        <v>45802</v>
      </c>
      <c r="B488" t="s">
        <v>13</v>
      </c>
      <c r="C488" t="s">
        <v>21</v>
      </c>
      <c r="D488" t="s">
        <v>22</v>
      </c>
      <c r="E488">
        <v>6</v>
      </c>
      <c r="F488" s="3">
        <v>10860</v>
      </c>
      <c r="G488" t="s">
        <v>31</v>
      </c>
      <c r="H488" t="s">
        <v>12</v>
      </c>
    </row>
    <row r="489" spans="1:8" x14ac:dyDescent="0.25">
      <c r="A489" s="1">
        <v>45274</v>
      </c>
      <c r="B489" t="s">
        <v>42</v>
      </c>
      <c r="C489" t="s">
        <v>30</v>
      </c>
      <c r="D489" t="s">
        <v>15</v>
      </c>
      <c r="E489">
        <v>10</v>
      </c>
      <c r="F489" s="3">
        <v>19940</v>
      </c>
      <c r="G489" t="s">
        <v>16</v>
      </c>
      <c r="H489" t="s">
        <v>12</v>
      </c>
    </row>
    <row r="490" spans="1:8" x14ac:dyDescent="0.25">
      <c r="A490" s="1">
        <v>45151</v>
      </c>
      <c r="B490" t="s">
        <v>46</v>
      </c>
      <c r="C490" t="s">
        <v>9</v>
      </c>
      <c r="D490" t="s">
        <v>10</v>
      </c>
      <c r="E490">
        <v>1</v>
      </c>
      <c r="F490" s="3">
        <v>1809</v>
      </c>
      <c r="G490" t="s">
        <v>31</v>
      </c>
      <c r="H490" t="s">
        <v>32</v>
      </c>
    </row>
    <row r="491" spans="1:8" x14ac:dyDescent="0.25">
      <c r="A491" s="1">
        <v>45522</v>
      </c>
      <c r="B491" t="s">
        <v>46</v>
      </c>
      <c r="C491" t="s">
        <v>21</v>
      </c>
      <c r="D491" t="s">
        <v>22</v>
      </c>
      <c r="E491">
        <v>11</v>
      </c>
      <c r="F491" s="3">
        <v>1122</v>
      </c>
      <c r="G491" t="s">
        <v>16</v>
      </c>
      <c r="H491" t="s">
        <v>32</v>
      </c>
    </row>
    <row r="492" spans="1:8" x14ac:dyDescent="0.25">
      <c r="A492" s="1">
        <v>46003</v>
      </c>
      <c r="B492" t="s">
        <v>42</v>
      </c>
      <c r="C492" t="s">
        <v>37</v>
      </c>
      <c r="D492" t="s">
        <v>15</v>
      </c>
      <c r="E492">
        <v>8</v>
      </c>
      <c r="F492" s="3">
        <v>8176</v>
      </c>
      <c r="G492" t="s">
        <v>39</v>
      </c>
      <c r="H492" t="s">
        <v>28</v>
      </c>
    </row>
    <row r="493" spans="1:8" x14ac:dyDescent="0.25">
      <c r="A493" s="1">
        <v>45089</v>
      </c>
      <c r="B493" t="s">
        <v>18</v>
      </c>
      <c r="C493" t="s">
        <v>21</v>
      </c>
      <c r="D493" t="s">
        <v>22</v>
      </c>
      <c r="E493">
        <v>19</v>
      </c>
      <c r="F493" s="3">
        <v>28443</v>
      </c>
      <c r="G493" t="s">
        <v>39</v>
      </c>
      <c r="H493" t="s">
        <v>28</v>
      </c>
    </row>
    <row r="494" spans="1:8" x14ac:dyDescent="0.25">
      <c r="A494" s="1">
        <v>45221</v>
      </c>
      <c r="B494" t="s">
        <v>33</v>
      </c>
      <c r="C494" t="s">
        <v>21</v>
      </c>
      <c r="D494" t="s">
        <v>22</v>
      </c>
      <c r="E494">
        <v>12</v>
      </c>
      <c r="F494" s="3">
        <v>23496</v>
      </c>
      <c r="G494" t="s">
        <v>16</v>
      </c>
      <c r="H494" t="s">
        <v>34</v>
      </c>
    </row>
    <row r="495" spans="1:8" x14ac:dyDescent="0.25">
      <c r="A495" s="1">
        <v>45427</v>
      </c>
      <c r="B495" t="s">
        <v>13</v>
      </c>
      <c r="C495" t="s">
        <v>38</v>
      </c>
      <c r="D495" t="s">
        <v>22</v>
      </c>
      <c r="E495">
        <v>3</v>
      </c>
      <c r="F495" s="3">
        <v>2091</v>
      </c>
      <c r="G495" t="s">
        <v>16</v>
      </c>
      <c r="H495" t="s">
        <v>19</v>
      </c>
    </row>
    <row r="496" spans="1:8" x14ac:dyDescent="0.25">
      <c r="A496" s="1">
        <v>45114</v>
      </c>
      <c r="B496" t="s">
        <v>20</v>
      </c>
      <c r="C496" t="s">
        <v>9</v>
      </c>
      <c r="D496" t="s">
        <v>10</v>
      </c>
      <c r="E496">
        <v>11</v>
      </c>
      <c r="F496" s="3">
        <v>12034</v>
      </c>
      <c r="G496" t="s">
        <v>27</v>
      </c>
      <c r="H496" t="s">
        <v>12</v>
      </c>
    </row>
    <row r="497" spans="1:8" x14ac:dyDescent="0.25">
      <c r="A497" s="1">
        <v>46022</v>
      </c>
      <c r="B497" t="s">
        <v>42</v>
      </c>
      <c r="C497" t="s">
        <v>38</v>
      </c>
      <c r="D497" t="s">
        <v>22</v>
      </c>
      <c r="E497">
        <v>20</v>
      </c>
      <c r="F497" s="3">
        <v>7280</v>
      </c>
      <c r="G497" t="s">
        <v>16</v>
      </c>
      <c r="H497" t="s">
        <v>28</v>
      </c>
    </row>
    <row r="498" spans="1:8" x14ac:dyDescent="0.25">
      <c r="A498" s="1">
        <v>45387</v>
      </c>
      <c r="B498" t="s">
        <v>40</v>
      </c>
      <c r="C498" t="s">
        <v>35</v>
      </c>
      <c r="D498" t="s">
        <v>36</v>
      </c>
      <c r="E498">
        <v>19</v>
      </c>
      <c r="F498" s="3">
        <v>34808</v>
      </c>
      <c r="G498" t="s">
        <v>31</v>
      </c>
      <c r="H498" t="s">
        <v>17</v>
      </c>
    </row>
    <row r="499" spans="1:8" x14ac:dyDescent="0.25">
      <c r="A499" s="1">
        <v>45457</v>
      </c>
      <c r="B499" t="s">
        <v>18</v>
      </c>
      <c r="C499" t="s">
        <v>41</v>
      </c>
      <c r="D499" t="s">
        <v>26</v>
      </c>
      <c r="E499">
        <v>9</v>
      </c>
      <c r="F499" s="3">
        <v>8775</v>
      </c>
      <c r="G499" t="s">
        <v>31</v>
      </c>
      <c r="H499" t="s">
        <v>43</v>
      </c>
    </row>
    <row r="500" spans="1:8" x14ac:dyDescent="0.25">
      <c r="A500" s="1">
        <v>45939</v>
      </c>
      <c r="B500" t="s">
        <v>33</v>
      </c>
      <c r="C500" t="s">
        <v>44</v>
      </c>
      <c r="D500" t="s">
        <v>45</v>
      </c>
      <c r="E500">
        <v>13</v>
      </c>
      <c r="F500" s="3">
        <v>18551</v>
      </c>
      <c r="G500" t="s">
        <v>27</v>
      </c>
      <c r="H500" t="s">
        <v>34</v>
      </c>
    </row>
    <row r="501" spans="1:8" x14ac:dyDescent="0.25">
      <c r="A501" s="1">
        <v>45190</v>
      </c>
      <c r="B501" t="s">
        <v>24</v>
      </c>
      <c r="C501" t="s">
        <v>41</v>
      </c>
      <c r="D501" t="s">
        <v>26</v>
      </c>
      <c r="E501">
        <v>8</v>
      </c>
      <c r="F501" s="3">
        <v>6824</v>
      </c>
      <c r="G501" t="s">
        <v>39</v>
      </c>
      <c r="H501" t="s">
        <v>32</v>
      </c>
    </row>
    <row r="502" spans="1:8" x14ac:dyDescent="0.25">
      <c r="A502" s="1">
        <v>44972</v>
      </c>
      <c r="B502" t="s">
        <v>47</v>
      </c>
      <c r="C502" t="s">
        <v>25</v>
      </c>
      <c r="D502" t="s">
        <v>26</v>
      </c>
      <c r="E502">
        <v>17</v>
      </c>
      <c r="F502" s="3">
        <v>22848</v>
      </c>
      <c r="G502" t="s">
        <v>16</v>
      </c>
      <c r="H502" t="s">
        <v>28</v>
      </c>
    </row>
    <row r="503" spans="1:8" x14ac:dyDescent="0.25">
      <c r="A503" s="1">
        <v>45132</v>
      </c>
      <c r="B503" t="s">
        <v>20</v>
      </c>
      <c r="C503" t="s">
        <v>44</v>
      </c>
      <c r="D503" t="s">
        <v>45</v>
      </c>
      <c r="E503">
        <v>7</v>
      </c>
      <c r="F503" s="3">
        <v>3045</v>
      </c>
      <c r="G503" t="s">
        <v>31</v>
      </c>
      <c r="H503" t="s">
        <v>28</v>
      </c>
    </row>
    <row r="504" spans="1:8" x14ac:dyDescent="0.25">
      <c r="A504" s="1">
        <v>45566</v>
      </c>
      <c r="B504" t="s">
        <v>33</v>
      </c>
      <c r="C504" t="s">
        <v>30</v>
      </c>
      <c r="D504" t="s">
        <v>15</v>
      </c>
      <c r="E504">
        <v>12</v>
      </c>
      <c r="F504" s="3">
        <v>19920</v>
      </c>
      <c r="G504" t="s">
        <v>27</v>
      </c>
      <c r="H504" t="s">
        <v>34</v>
      </c>
    </row>
    <row r="505" spans="1:8" x14ac:dyDescent="0.25">
      <c r="A505" s="1">
        <v>46003</v>
      </c>
      <c r="B505" t="s">
        <v>42</v>
      </c>
      <c r="C505" t="s">
        <v>21</v>
      </c>
      <c r="D505" t="s">
        <v>22</v>
      </c>
      <c r="E505">
        <v>17</v>
      </c>
      <c r="F505" s="3">
        <v>16558</v>
      </c>
      <c r="G505" t="s">
        <v>11</v>
      </c>
      <c r="H505" t="s">
        <v>17</v>
      </c>
    </row>
    <row r="506" spans="1:8" x14ac:dyDescent="0.25">
      <c r="A506" s="1">
        <v>45910</v>
      </c>
      <c r="B506" t="s">
        <v>24</v>
      </c>
      <c r="C506" t="s">
        <v>25</v>
      </c>
      <c r="D506" t="s">
        <v>26</v>
      </c>
      <c r="E506">
        <v>4</v>
      </c>
      <c r="F506" s="3">
        <v>5288</v>
      </c>
      <c r="G506" t="s">
        <v>16</v>
      </c>
      <c r="H506" t="s">
        <v>43</v>
      </c>
    </row>
    <row r="507" spans="1:8" x14ac:dyDescent="0.25">
      <c r="A507" s="1">
        <v>45580</v>
      </c>
      <c r="B507" t="s">
        <v>33</v>
      </c>
      <c r="C507" t="s">
        <v>14</v>
      </c>
      <c r="D507" t="s">
        <v>15</v>
      </c>
      <c r="E507">
        <v>10</v>
      </c>
      <c r="F507" s="3">
        <v>7330</v>
      </c>
      <c r="G507" t="s">
        <v>11</v>
      </c>
      <c r="H507" t="s">
        <v>19</v>
      </c>
    </row>
    <row r="508" spans="1:8" x14ac:dyDescent="0.25">
      <c r="A508" s="1">
        <v>45904</v>
      </c>
      <c r="B508" t="s">
        <v>24</v>
      </c>
      <c r="C508" t="s">
        <v>21</v>
      </c>
      <c r="D508" t="s">
        <v>22</v>
      </c>
      <c r="E508">
        <v>10</v>
      </c>
      <c r="F508" s="3">
        <v>13300</v>
      </c>
      <c r="G508" t="s">
        <v>11</v>
      </c>
      <c r="H508" t="s">
        <v>34</v>
      </c>
    </row>
    <row r="509" spans="1:8" x14ac:dyDescent="0.25">
      <c r="A509" s="1">
        <v>45914</v>
      </c>
      <c r="B509" t="s">
        <v>24</v>
      </c>
      <c r="C509" t="s">
        <v>35</v>
      </c>
      <c r="D509" t="s">
        <v>36</v>
      </c>
      <c r="E509">
        <v>10</v>
      </c>
      <c r="F509" s="3">
        <v>18060</v>
      </c>
      <c r="G509" t="s">
        <v>16</v>
      </c>
      <c r="H509" t="s">
        <v>19</v>
      </c>
    </row>
    <row r="510" spans="1:8" x14ac:dyDescent="0.25">
      <c r="A510" s="1">
        <v>45853</v>
      </c>
      <c r="B510" t="s">
        <v>20</v>
      </c>
      <c r="C510" t="s">
        <v>25</v>
      </c>
      <c r="D510" t="s">
        <v>26</v>
      </c>
      <c r="E510">
        <v>18</v>
      </c>
      <c r="F510" s="3">
        <v>5274</v>
      </c>
      <c r="G510" t="s">
        <v>11</v>
      </c>
      <c r="H510" t="s">
        <v>12</v>
      </c>
    </row>
    <row r="511" spans="1:8" x14ac:dyDescent="0.25">
      <c r="A511" s="1">
        <v>44929</v>
      </c>
      <c r="B511" t="s">
        <v>29</v>
      </c>
      <c r="C511" t="s">
        <v>14</v>
      </c>
      <c r="D511" t="s">
        <v>15</v>
      </c>
      <c r="E511">
        <v>17</v>
      </c>
      <c r="F511" s="3">
        <v>27557</v>
      </c>
      <c r="G511" t="s">
        <v>31</v>
      </c>
      <c r="H511" t="s">
        <v>34</v>
      </c>
    </row>
    <row r="512" spans="1:8" x14ac:dyDescent="0.25">
      <c r="A512" s="1">
        <v>45051</v>
      </c>
      <c r="B512" t="s">
        <v>13</v>
      </c>
      <c r="C512" t="s">
        <v>30</v>
      </c>
      <c r="D512" t="s">
        <v>15</v>
      </c>
      <c r="E512">
        <v>17</v>
      </c>
      <c r="F512" s="3">
        <v>28356</v>
      </c>
      <c r="G512" t="s">
        <v>31</v>
      </c>
      <c r="H512" t="s">
        <v>34</v>
      </c>
    </row>
    <row r="513" spans="1:8" x14ac:dyDescent="0.25">
      <c r="A513" s="1">
        <v>45593</v>
      </c>
      <c r="B513" t="s">
        <v>33</v>
      </c>
      <c r="C513" t="s">
        <v>14</v>
      </c>
      <c r="D513" t="s">
        <v>15</v>
      </c>
      <c r="E513">
        <v>11</v>
      </c>
      <c r="F513" s="3">
        <v>5654</v>
      </c>
      <c r="G513" t="s">
        <v>39</v>
      </c>
      <c r="H513" t="s">
        <v>12</v>
      </c>
    </row>
    <row r="514" spans="1:8" x14ac:dyDescent="0.25">
      <c r="A514" s="1">
        <v>45955</v>
      </c>
      <c r="B514" t="s">
        <v>33</v>
      </c>
      <c r="C514" t="s">
        <v>21</v>
      </c>
      <c r="D514" t="s">
        <v>22</v>
      </c>
      <c r="E514">
        <v>1</v>
      </c>
      <c r="F514" s="3">
        <v>1022</v>
      </c>
      <c r="G514" t="s">
        <v>39</v>
      </c>
      <c r="H514" t="s">
        <v>28</v>
      </c>
    </row>
    <row r="515" spans="1:8" x14ac:dyDescent="0.25">
      <c r="A515" s="1">
        <v>45306</v>
      </c>
      <c r="B515" t="s">
        <v>29</v>
      </c>
      <c r="C515" t="s">
        <v>37</v>
      </c>
      <c r="D515" t="s">
        <v>15</v>
      </c>
      <c r="E515">
        <v>10</v>
      </c>
      <c r="F515" s="3">
        <v>9110</v>
      </c>
      <c r="G515" t="s">
        <v>39</v>
      </c>
      <c r="H515" t="s">
        <v>34</v>
      </c>
    </row>
    <row r="516" spans="1:8" x14ac:dyDescent="0.25">
      <c r="A516" s="1">
        <v>45633</v>
      </c>
      <c r="B516" t="s">
        <v>42</v>
      </c>
      <c r="C516" t="s">
        <v>44</v>
      </c>
      <c r="D516" t="s">
        <v>45</v>
      </c>
      <c r="E516">
        <v>16</v>
      </c>
      <c r="F516" s="3">
        <v>26000</v>
      </c>
      <c r="G516" t="s">
        <v>27</v>
      </c>
      <c r="H516" t="s">
        <v>19</v>
      </c>
    </row>
    <row r="517" spans="1:8" x14ac:dyDescent="0.25">
      <c r="A517" s="1">
        <v>45617</v>
      </c>
      <c r="B517" t="s">
        <v>8</v>
      </c>
      <c r="C517" t="s">
        <v>25</v>
      </c>
      <c r="D517" t="s">
        <v>26</v>
      </c>
      <c r="E517">
        <v>8</v>
      </c>
      <c r="F517" s="3">
        <v>11000</v>
      </c>
      <c r="G517" t="s">
        <v>11</v>
      </c>
      <c r="H517" t="s">
        <v>28</v>
      </c>
    </row>
    <row r="518" spans="1:8" x14ac:dyDescent="0.25">
      <c r="A518" s="1">
        <v>45759</v>
      </c>
      <c r="B518" t="s">
        <v>40</v>
      </c>
      <c r="C518" t="s">
        <v>44</v>
      </c>
      <c r="D518" t="s">
        <v>45</v>
      </c>
      <c r="E518">
        <v>2</v>
      </c>
      <c r="F518" s="3">
        <v>1804</v>
      </c>
      <c r="G518" t="s">
        <v>27</v>
      </c>
      <c r="H518" t="s">
        <v>12</v>
      </c>
    </row>
    <row r="519" spans="1:8" x14ac:dyDescent="0.25">
      <c r="A519" s="1">
        <v>45736</v>
      </c>
      <c r="B519" t="s">
        <v>48</v>
      </c>
      <c r="C519" t="s">
        <v>44</v>
      </c>
      <c r="D519" t="s">
        <v>45</v>
      </c>
      <c r="E519">
        <v>20</v>
      </c>
      <c r="F519" s="3">
        <v>31220</v>
      </c>
      <c r="G519" t="s">
        <v>39</v>
      </c>
      <c r="H519" t="s">
        <v>17</v>
      </c>
    </row>
    <row r="520" spans="1:8" x14ac:dyDescent="0.25">
      <c r="A520" s="1">
        <v>45566</v>
      </c>
      <c r="B520" t="s">
        <v>33</v>
      </c>
      <c r="C520" t="s">
        <v>35</v>
      </c>
      <c r="D520" t="s">
        <v>36</v>
      </c>
      <c r="E520">
        <v>2</v>
      </c>
      <c r="F520" s="3">
        <v>1824</v>
      </c>
      <c r="G520" t="s">
        <v>31</v>
      </c>
      <c r="H520" t="s">
        <v>19</v>
      </c>
    </row>
    <row r="521" spans="1:8" x14ac:dyDescent="0.25">
      <c r="A521" s="1">
        <v>45008</v>
      </c>
      <c r="B521" t="s">
        <v>48</v>
      </c>
      <c r="C521" t="s">
        <v>14</v>
      </c>
      <c r="D521" t="s">
        <v>15</v>
      </c>
      <c r="E521">
        <v>13</v>
      </c>
      <c r="F521" s="3">
        <v>1248</v>
      </c>
      <c r="G521" t="s">
        <v>16</v>
      </c>
      <c r="H521" t="s">
        <v>17</v>
      </c>
    </row>
    <row r="522" spans="1:8" x14ac:dyDescent="0.25">
      <c r="A522" s="1">
        <v>44931</v>
      </c>
      <c r="B522" t="s">
        <v>29</v>
      </c>
      <c r="C522" t="s">
        <v>38</v>
      </c>
      <c r="D522" t="s">
        <v>22</v>
      </c>
      <c r="E522">
        <v>20</v>
      </c>
      <c r="F522" s="3">
        <v>14900</v>
      </c>
      <c r="G522" t="s">
        <v>39</v>
      </c>
      <c r="H522" t="s">
        <v>23</v>
      </c>
    </row>
    <row r="523" spans="1:8" x14ac:dyDescent="0.25">
      <c r="A523" s="1">
        <v>45184</v>
      </c>
      <c r="B523" t="s">
        <v>24</v>
      </c>
      <c r="C523" t="s">
        <v>9</v>
      </c>
      <c r="D523" t="s">
        <v>10</v>
      </c>
      <c r="E523">
        <v>9</v>
      </c>
      <c r="F523" s="3">
        <v>1917</v>
      </c>
      <c r="G523" t="s">
        <v>16</v>
      </c>
      <c r="H523" t="s">
        <v>32</v>
      </c>
    </row>
    <row r="524" spans="1:8" x14ac:dyDescent="0.25">
      <c r="A524" s="1">
        <v>45540</v>
      </c>
      <c r="B524" t="s">
        <v>24</v>
      </c>
      <c r="C524" t="s">
        <v>14</v>
      </c>
      <c r="D524" t="s">
        <v>15</v>
      </c>
      <c r="E524">
        <v>7</v>
      </c>
      <c r="F524" s="3">
        <v>8295</v>
      </c>
      <c r="G524" t="s">
        <v>11</v>
      </c>
      <c r="H524" t="s">
        <v>12</v>
      </c>
    </row>
    <row r="525" spans="1:8" x14ac:dyDescent="0.25">
      <c r="A525" s="1">
        <v>45080</v>
      </c>
      <c r="B525" t="s">
        <v>18</v>
      </c>
      <c r="C525" t="s">
        <v>14</v>
      </c>
      <c r="D525" t="s">
        <v>15</v>
      </c>
      <c r="E525">
        <v>9</v>
      </c>
      <c r="F525" s="3">
        <v>11412</v>
      </c>
      <c r="G525" t="s">
        <v>39</v>
      </c>
      <c r="H525" t="s">
        <v>32</v>
      </c>
    </row>
    <row r="526" spans="1:8" x14ac:dyDescent="0.25">
      <c r="A526" s="1">
        <v>45386</v>
      </c>
      <c r="B526" t="s">
        <v>40</v>
      </c>
      <c r="C526" t="s">
        <v>44</v>
      </c>
      <c r="D526" t="s">
        <v>45</v>
      </c>
      <c r="E526">
        <v>11</v>
      </c>
      <c r="F526" s="3">
        <v>15708</v>
      </c>
      <c r="G526" t="s">
        <v>11</v>
      </c>
      <c r="H526" t="s">
        <v>12</v>
      </c>
    </row>
    <row r="527" spans="1:8" x14ac:dyDescent="0.25">
      <c r="A527" s="1">
        <v>45162</v>
      </c>
      <c r="B527" t="s">
        <v>46</v>
      </c>
      <c r="C527" t="s">
        <v>14</v>
      </c>
      <c r="D527" t="s">
        <v>15</v>
      </c>
      <c r="E527">
        <v>11</v>
      </c>
      <c r="F527" s="3">
        <v>18920</v>
      </c>
      <c r="G527" t="s">
        <v>39</v>
      </c>
      <c r="H527" t="s">
        <v>12</v>
      </c>
    </row>
    <row r="528" spans="1:8" x14ac:dyDescent="0.25">
      <c r="A528" s="1">
        <v>45080</v>
      </c>
      <c r="B528" t="s">
        <v>18</v>
      </c>
      <c r="C528" t="s">
        <v>44</v>
      </c>
      <c r="D528" t="s">
        <v>45</v>
      </c>
      <c r="E528">
        <v>9</v>
      </c>
      <c r="F528" s="3">
        <v>5697</v>
      </c>
      <c r="G528" t="s">
        <v>11</v>
      </c>
      <c r="H528" t="s">
        <v>17</v>
      </c>
    </row>
    <row r="529" spans="1:8" x14ac:dyDescent="0.25">
      <c r="A529" s="1">
        <v>44949</v>
      </c>
      <c r="B529" t="s">
        <v>29</v>
      </c>
      <c r="C529" t="s">
        <v>44</v>
      </c>
      <c r="D529" t="s">
        <v>45</v>
      </c>
      <c r="E529">
        <v>19</v>
      </c>
      <c r="F529" s="3">
        <v>17271</v>
      </c>
      <c r="G529" t="s">
        <v>31</v>
      </c>
      <c r="H529" t="s">
        <v>28</v>
      </c>
    </row>
    <row r="530" spans="1:8" x14ac:dyDescent="0.25">
      <c r="A530" s="1">
        <v>44999</v>
      </c>
      <c r="B530" t="s">
        <v>48</v>
      </c>
      <c r="C530" t="s">
        <v>41</v>
      </c>
      <c r="D530" t="s">
        <v>26</v>
      </c>
      <c r="E530">
        <v>12</v>
      </c>
      <c r="F530" s="3">
        <v>4212</v>
      </c>
      <c r="G530" t="s">
        <v>27</v>
      </c>
      <c r="H530" t="s">
        <v>43</v>
      </c>
    </row>
    <row r="531" spans="1:8" x14ac:dyDescent="0.25">
      <c r="A531" s="1">
        <v>45144</v>
      </c>
      <c r="B531" t="s">
        <v>46</v>
      </c>
      <c r="C531" t="s">
        <v>37</v>
      </c>
      <c r="D531" t="s">
        <v>15</v>
      </c>
      <c r="E531">
        <v>8</v>
      </c>
      <c r="F531" s="3">
        <v>2304</v>
      </c>
      <c r="G531" t="s">
        <v>27</v>
      </c>
      <c r="H531" t="s">
        <v>43</v>
      </c>
    </row>
    <row r="532" spans="1:8" x14ac:dyDescent="0.25">
      <c r="A532" s="1">
        <v>45311</v>
      </c>
      <c r="B532" t="s">
        <v>29</v>
      </c>
      <c r="C532" t="s">
        <v>41</v>
      </c>
      <c r="D532" t="s">
        <v>26</v>
      </c>
      <c r="E532">
        <v>20</v>
      </c>
      <c r="F532" s="3">
        <v>11340</v>
      </c>
      <c r="G532" t="s">
        <v>31</v>
      </c>
      <c r="H532" t="s">
        <v>23</v>
      </c>
    </row>
    <row r="533" spans="1:8" x14ac:dyDescent="0.25">
      <c r="A533" s="1">
        <v>45383</v>
      </c>
      <c r="B533" t="s">
        <v>40</v>
      </c>
      <c r="C533" t="s">
        <v>21</v>
      </c>
      <c r="D533" t="s">
        <v>22</v>
      </c>
      <c r="E533">
        <v>15</v>
      </c>
      <c r="F533" s="3">
        <v>21060</v>
      </c>
      <c r="G533" t="s">
        <v>31</v>
      </c>
      <c r="H533" t="s">
        <v>12</v>
      </c>
    </row>
    <row r="534" spans="1:8" x14ac:dyDescent="0.25">
      <c r="A534" s="1">
        <v>45257</v>
      </c>
      <c r="B534" t="s">
        <v>8</v>
      </c>
      <c r="C534" t="s">
        <v>9</v>
      </c>
      <c r="D534" t="s">
        <v>10</v>
      </c>
      <c r="E534">
        <v>9</v>
      </c>
      <c r="F534" s="3">
        <v>8901</v>
      </c>
      <c r="G534" t="s">
        <v>16</v>
      </c>
      <c r="H534" t="s">
        <v>12</v>
      </c>
    </row>
    <row r="535" spans="1:8" x14ac:dyDescent="0.25">
      <c r="A535" s="1">
        <v>45705</v>
      </c>
      <c r="B535" t="s">
        <v>47</v>
      </c>
      <c r="C535" t="s">
        <v>44</v>
      </c>
      <c r="D535" t="s">
        <v>45</v>
      </c>
      <c r="E535">
        <v>1</v>
      </c>
      <c r="F535" s="3">
        <v>395</v>
      </c>
      <c r="G535" t="s">
        <v>39</v>
      </c>
      <c r="H535" t="s">
        <v>12</v>
      </c>
    </row>
    <row r="536" spans="1:8" x14ac:dyDescent="0.25">
      <c r="A536" s="1">
        <v>45783</v>
      </c>
      <c r="B536" t="s">
        <v>13</v>
      </c>
      <c r="C536" t="s">
        <v>41</v>
      </c>
      <c r="D536" t="s">
        <v>26</v>
      </c>
      <c r="E536">
        <v>6</v>
      </c>
      <c r="F536" s="3">
        <v>4374</v>
      </c>
      <c r="G536" t="s">
        <v>11</v>
      </c>
      <c r="H536" t="s">
        <v>17</v>
      </c>
    </row>
    <row r="537" spans="1:8" x14ac:dyDescent="0.25">
      <c r="A537" s="1">
        <v>45181</v>
      </c>
      <c r="B537" t="s">
        <v>24</v>
      </c>
      <c r="C537" t="s">
        <v>25</v>
      </c>
      <c r="D537" t="s">
        <v>26</v>
      </c>
      <c r="E537">
        <v>13</v>
      </c>
      <c r="F537" s="3">
        <v>2405</v>
      </c>
      <c r="G537" t="s">
        <v>31</v>
      </c>
      <c r="H537" t="s">
        <v>19</v>
      </c>
    </row>
    <row r="538" spans="1:8" x14ac:dyDescent="0.25">
      <c r="A538" s="1">
        <v>45566</v>
      </c>
      <c r="B538" t="s">
        <v>33</v>
      </c>
      <c r="C538" t="s">
        <v>21</v>
      </c>
      <c r="D538" t="s">
        <v>22</v>
      </c>
      <c r="E538">
        <v>4</v>
      </c>
      <c r="F538" s="3">
        <v>7868</v>
      </c>
      <c r="G538" t="s">
        <v>39</v>
      </c>
      <c r="H538" t="s">
        <v>17</v>
      </c>
    </row>
    <row r="539" spans="1:8" x14ac:dyDescent="0.25">
      <c r="A539" s="1">
        <v>45416</v>
      </c>
      <c r="B539" t="s">
        <v>13</v>
      </c>
      <c r="C539" t="s">
        <v>41</v>
      </c>
      <c r="D539" t="s">
        <v>26</v>
      </c>
      <c r="E539">
        <v>2</v>
      </c>
      <c r="F539" s="3">
        <v>1854</v>
      </c>
      <c r="G539" t="s">
        <v>16</v>
      </c>
      <c r="H539" t="s">
        <v>34</v>
      </c>
    </row>
    <row r="540" spans="1:8" x14ac:dyDescent="0.25">
      <c r="A540" s="1">
        <v>45829</v>
      </c>
      <c r="B540" t="s">
        <v>18</v>
      </c>
      <c r="C540" t="s">
        <v>35</v>
      </c>
      <c r="D540" t="s">
        <v>36</v>
      </c>
      <c r="E540">
        <v>16</v>
      </c>
      <c r="F540" s="3">
        <v>22240</v>
      </c>
      <c r="G540" t="s">
        <v>27</v>
      </c>
      <c r="H540" t="s">
        <v>23</v>
      </c>
    </row>
    <row r="541" spans="1:8" x14ac:dyDescent="0.25">
      <c r="A541" s="1">
        <v>45396</v>
      </c>
      <c r="B541" t="s">
        <v>40</v>
      </c>
      <c r="C541" t="s">
        <v>38</v>
      </c>
      <c r="D541" t="s">
        <v>22</v>
      </c>
      <c r="E541">
        <v>16</v>
      </c>
      <c r="F541" s="3">
        <v>16864</v>
      </c>
      <c r="G541" t="s">
        <v>11</v>
      </c>
      <c r="H541" t="s">
        <v>32</v>
      </c>
    </row>
    <row r="542" spans="1:8" x14ac:dyDescent="0.25">
      <c r="A542" s="1">
        <v>45828</v>
      </c>
      <c r="B542" t="s">
        <v>18</v>
      </c>
      <c r="C542" t="s">
        <v>41</v>
      </c>
      <c r="D542" t="s">
        <v>26</v>
      </c>
      <c r="E542">
        <v>10</v>
      </c>
      <c r="F542" s="3">
        <v>15270</v>
      </c>
      <c r="G542" t="s">
        <v>16</v>
      </c>
      <c r="H542" t="s">
        <v>34</v>
      </c>
    </row>
    <row r="543" spans="1:8" x14ac:dyDescent="0.25">
      <c r="A543" s="1">
        <v>45517</v>
      </c>
      <c r="B543" t="s">
        <v>46</v>
      </c>
      <c r="C543" t="s">
        <v>35</v>
      </c>
      <c r="D543" t="s">
        <v>36</v>
      </c>
      <c r="E543">
        <v>17</v>
      </c>
      <c r="F543" s="3">
        <v>2465</v>
      </c>
      <c r="G543" t="s">
        <v>39</v>
      </c>
      <c r="H543" t="s">
        <v>32</v>
      </c>
    </row>
    <row r="544" spans="1:8" x14ac:dyDescent="0.25">
      <c r="A544" s="1">
        <v>45477</v>
      </c>
      <c r="B544" t="s">
        <v>20</v>
      </c>
      <c r="C544" t="s">
        <v>25</v>
      </c>
      <c r="D544" t="s">
        <v>26</v>
      </c>
      <c r="E544">
        <v>6</v>
      </c>
      <c r="F544" s="3">
        <v>660</v>
      </c>
      <c r="G544" t="s">
        <v>11</v>
      </c>
      <c r="H544" t="s">
        <v>34</v>
      </c>
    </row>
    <row r="545" spans="1:8" x14ac:dyDescent="0.25">
      <c r="A545" s="1">
        <v>45824</v>
      </c>
      <c r="B545" t="s">
        <v>18</v>
      </c>
      <c r="C545" t="s">
        <v>14</v>
      </c>
      <c r="D545" t="s">
        <v>15</v>
      </c>
      <c r="E545">
        <v>20</v>
      </c>
      <c r="F545" s="3">
        <v>7860</v>
      </c>
      <c r="G545" t="s">
        <v>31</v>
      </c>
      <c r="H545" t="s">
        <v>12</v>
      </c>
    </row>
    <row r="546" spans="1:8" x14ac:dyDescent="0.25">
      <c r="A546" s="1">
        <v>45472</v>
      </c>
      <c r="B546" t="s">
        <v>18</v>
      </c>
      <c r="C546" t="s">
        <v>21</v>
      </c>
      <c r="D546" t="s">
        <v>22</v>
      </c>
      <c r="E546">
        <v>10</v>
      </c>
      <c r="F546" s="3">
        <v>17450</v>
      </c>
      <c r="G546" t="s">
        <v>27</v>
      </c>
      <c r="H546" t="s">
        <v>19</v>
      </c>
    </row>
    <row r="547" spans="1:8" x14ac:dyDescent="0.25">
      <c r="A547" s="1">
        <v>44960</v>
      </c>
      <c r="B547" t="s">
        <v>47</v>
      </c>
      <c r="C547" t="s">
        <v>37</v>
      </c>
      <c r="D547" t="s">
        <v>15</v>
      </c>
      <c r="E547">
        <v>18</v>
      </c>
      <c r="F547" s="3">
        <v>25758</v>
      </c>
      <c r="G547" t="s">
        <v>27</v>
      </c>
      <c r="H547" t="s">
        <v>12</v>
      </c>
    </row>
    <row r="548" spans="1:8" x14ac:dyDescent="0.25">
      <c r="A548" s="1">
        <v>45361</v>
      </c>
      <c r="B548" t="s">
        <v>48</v>
      </c>
      <c r="C548" t="s">
        <v>9</v>
      </c>
      <c r="D548" t="s">
        <v>10</v>
      </c>
      <c r="E548">
        <v>16</v>
      </c>
      <c r="F548" s="3">
        <v>23120</v>
      </c>
      <c r="G548" t="s">
        <v>31</v>
      </c>
      <c r="H548" t="s">
        <v>32</v>
      </c>
    </row>
    <row r="549" spans="1:8" x14ac:dyDescent="0.25">
      <c r="A549" s="1">
        <v>45593</v>
      </c>
      <c r="B549" t="s">
        <v>33</v>
      </c>
      <c r="C549" t="s">
        <v>14</v>
      </c>
      <c r="D549" t="s">
        <v>15</v>
      </c>
      <c r="E549">
        <v>12</v>
      </c>
      <c r="F549" s="3">
        <v>3000</v>
      </c>
      <c r="G549" t="s">
        <v>16</v>
      </c>
      <c r="H549" t="s">
        <v>32</v>
      </c>
    </row>
    <row r="550" spans="1:8" x14ac:dyDescent="0.25">
      <c r="A550" s="1">
        <v>45985</v>
      </c>
      <c r="B550" t="s">
        <v>8</v>
      </c>
      <c r="C550" t="s">
        <v>35</v>
      </c>
      <c r="D550" t="s">
        <v>36</v>
      </c>
      <c r="E550">
        <v>15</v>
      </c>
      <c r="F550" s="3">
        <v>21135</v>
      </c>
      <c r="G550" t="s">
        <v>39</v>
      </c>
      <c r="H550" t="s">
        <v>12</v>
      </c>
    </row>
    <row r="551" spans="1:8" x14ac:dyDescent="0.25">
      <c r="A551" s="1">
        <v>45099</v>
      </c>
      <c r="B551" t="s">
        <v>18</v>
      </c>
      <c r="C551" t="s">
        <v>25</v>
      </c>
      <c r="D551" t="s">
        <v>26</v>
      </c>
      <c r="E551">
        <v>12</v>
      </c>
      <c r="F551" s="3">
        <v>7572</v>
      </c>
      <c r="G551" t="s">
        <v>31</v>
      </c>
      <c r="H551" t="s">
        <v>28</v>
      </c>
    </row>
    <row r="552" spans="1:8" x14ac:dyDescent="0.25">
      <c r="A552" s="1">
        <v>45855</v>
      </c>
      <c r="B552" t="s">
        <v>20</v>
      </c>
      <c r="C552" t="s">
        <v>44</v>
      </c>
      <c r="D552" t="s">
        <v>45</v>
      </c>
      <c r="E552">
        <v>5</v>
      </c>
      <c r="F552" s="3">
        <v>2750</v>
      </c>
      <c r="G552" t="s">
        <v>31</v>
      </c>
      <c r="H552" t="s">
        <v>43</v>
      </c>
    </row>
    <row r="553" spans="1:8" x14ac:dyDescent="0.25">
      <c r="A553" s="1">
        <v>45916</v>
      </c>
      <c r="B553" t="s">
        <v>24</v>
      </c>
      <c r="C553" t="s">
        <v>21</v>
      </c>
      <c r="D553" t="s">
        <v>22</v>
      </c>
      <c r="E553">
        <v>12</v>
      </c>
      <c r="F553" s="3">
        <v>19152</v>
      </c>
      <c r="G553" t="s">
        <v>11</v>
      </c>
      <c r="H553" t="s">
        <v>17</v>
      </c>
    </row>
    <row r="554" spans="1:8" x14ac:dyDescent="0.25">
      <c r="A554" s="1">
        <v>45936</v>
      </c>
      <c r="B554" t="s">
        <v>33</v>
      </c>
      <c r="C554" t="s">
        <v>37</v>
      </c>
      <c r="D554" t="s">
        <v>15</v>
      </c>
      <c r="E554">
        <v>19</v>
      </c>
      <c r="F554" s="3">
        <v>36423</v>
      </c>
      <c r="G554" t="s">
        <v>27</v>
      </c>
      <c r="H554" t="s">
        <v>17</v>
      </c>
    </row>
    <row r="555" spans="1:8" x14ac:dyDescent="0.25">
      <c r="A555" s="1">
        <v>45186</v>
      </c>
      <c r="B555" t="s">
        <v>24</v>
      </c>
      <c r="C555" t="s">
        <v>9</v>
      </c>
      <c r="D555" t="s">
        <v>10</v>
      </c>
      <c r="E555">
        <v>13</v>
      </c>
      <c r="F555" s="3">
        <v>4290</v>
      </c>
      <c r="G555" t="s">
        <v>16</v>
      </c>
      <c r="H555" t="s">
        <v>32</v>
      </c>
    </row>
    <row r="556" spans="1:8" x14ac:dyDescent="0.25">
      <c r="A556" s="1">
        <v>45133</v>
      </c>
      <c r="B556" t="s">
        <v>20</v>
      </c>
      <c r="C556" t="s">
        <v>44</v>
      </c>
      <c r="D556" t="s">
        <v>45</v>
      </c>
      <c r="E556">
        <v>15</v>
      </c>
      <c r="F556" s="3">
        <v>14055</v>
      </c>
      <c r="G556" t="s">
        <v>11</v>
      </c>
      <c r="H556" t="s">
        <v>23</v>
      </c>
    </row>
    <row r="557" spans="1:8" x14ac:dyDescent="0.25">
      <c r="A557" s="1">
        <v>45927</v>
      </c>
      <c r="B557" t="s">
        <v>24</v>
      </c>
      <c r="C557" t="s">
        <v>38</v>
      </c>
      <c r="D557" t="s">
        <v>22</v>
      </c>
      <c r="E557">
        <v>10</v>
      </c>
      <c r="F557" s="3">
        <v>14110</v>
      </c>
      <c r="G557" t="s">
        <v>11</v>
      </c>
      <c r="H557" t="s">
        <v>43</v>
      </c>
    </row>
    <row r="558" spans="1:8" x14ac:dyDescent="0.25">
      <c r="A558" s="1">
        <v>45890</v>
      </c>
      <c r="B558" t="s">
        <v>46</v>
      </c>
      <c r="C558" t="s">
        <v>14</v>
      </c>
      <c r="D558" t="s">
        <v>15</v>
      </c>
      <c r="E558">
        <v>1</v>
      </c>
      <c r="F558" s="3">
        <v>1123</v>
      </c>
      <c r="G558" t="s">
        <v>16</v>
      </c>
      <c r="H558" t="s">
        <v>23</v>
      </c>
    </row>
    <row r="559" spans="1:8" x14ac:dyDescent="0.25">
      <c r="A559" s="1">
        <v>45256</v>
      </c>
      <c r="B559" t="s">
        <v>8</v>
      </c>
      <c r="C559" t="s">
        <v>37</v>
      </c>
      <c r="D559" t="s">
        <v>15</v>
      </c>
      <c r="E559">
        <v>15</v>
      </c>
      <c r="F559" s="3">
        <v>14055</v>
      </c>
      <c r="G559" t="s">
        <v>31</v>
      </c>
      <c r="H559" t="s">
        <v>43</v>
      </c>
    </row>
    <row r="560" spans="1:8" x14ac:dyDescent="0.25">
      <c r="A560" s="1">
        <v>45439</v>
      </c>
      <c r="B560" t="s">
        <v>13</v>
      </c>
      <c r="C560" t="s">
        <v>35</v>
      </c>
      <c r="D560" t="s">
        <v>36</v>
      </c>
      <c r="E560">
        <v>7</v>
      </c>
      <c r="F560" s="3">
        <v>1561</v>
      </c>
      <c r="G560" t="s">
        <v>11</v>
      </c>
      <c r="H560" t="s">
        <v>43</v>
      </c>
    </row>
    <row r="561" spans="1:8" x14ac:dyDescent="0.25">
      <c r="A561" s="1">
        <v>45858</v>
      </c>
      <c r="B561" t="s">
        <v>20</v>
      </c>
      <c r="C561" t="s">
        <v>9</v>
      </c>
      <c r="D561" t="s">
        <v>10</v>
      </c>
      <c r="E561">
        <v>9</v>
      </c>
      <c r="F561" s="3">
        <v>5985</v>
      </c>
      <c r="G561" t="s">
        <v>27</v>
      </c>
      <c r="H561" t="s">
        <v>43</v>
      </c>
    </row>
    <row r="562" spans="1:8" x14ac:dyDescent="0.25">
      <c r="A562" s="1">
        <v>45022</v>
      </c>
      <c r="B562" t="s">
        <v>40</v>
      </c>
      <c r="C562" t="s">
        <v>41</v>
      </c>
      <c r="D562" t="s">
        <v>26</v>
      </c>
      <c r="E562">
        <v>19</v>
      </c>
      <c r="F562" s="3">
        <v>20976</v>
      </c>
      <c r="G562" t="s">
        <v>16</v>
      </c>
      <c r="H562" t="s">
        <v>17</v>
      </c>
    </row>
    <row r="563" spans="1:8" x14ac:dyDescent="0.25">
      <c r="A563" s="1">
        <v>45844</v>
      </c>
      <c r="B563" t="s">
        <v>20</v>
      </c>
      <c r="C563" t="s">
        <v>14</v>
      </c>
      <c r="D563" t="s">
        <v>15</v>
      </c>
      <c r="E563">
        <v>13</v>
      </c>
      <c r="F563" s="3">
        <v>16081</v>
      </c>
      <c r="G563" t="s">
        <v>31</v>
      </c>
      <c r="H563" t="s">
        <v>17</v>
      </c>
    </row>
    <row r="564" spans="1:8" x14ac:dyDescent="0.25">
      <c r="A564" s="1">
        <v>45923</v>
      </c>
      <c r="B564" t="s">
        <v>24</v>
      </c>
      <c r="C564" t="s">
        <v>38</v>
      </c>
      <c r="D564" t="s">
        <v>22</v>
      </c>
      <c r="E564">
        <v>18</v>
      </c>
      <c r="F564" s="3">
        <v>22032</v>
      </c>
      <c r="G564" t="s">
        <v>39</v>
      </c>
      <c r="H564" t="s">
        <v>23</v>
      </c>
    </row>
    <row r="565" spans="1:8" x14ac:dyDescent="0.25">
      <c r="A565" s="1">
        <v>45043</v>
      </c>
      <c r="B565" t="s">
        <v>40</v>
      </c>
      <c r="C565" t="s">
        <v>9</v>
      </c>
      <c r="D565" t="s">
        <v>10</v>
      </c>
      <c r="E565">
        <v>14</v>
      </c>
      <c r="F565" s="3">
        <v>21714</v>
      </c>
      <c r="G565" t="s">
        <v>11</v>
      </c>
      <c r="H565" t="s">
        <v>43</v>
      </c>
    </row>
    <row r="566" spans="1:8" x14ac:dyDescent="0.25">
      <c r="A566" s="1">
        <v>45266</v>
      </c>
      <c r="B566" t="s">
        <v>42</v>
      </c>
      <c r="C566" t="s">
        <v>37</v>
      </c>
      <c r="D566" t="s">
        <v>15</v>
      </c>
      <c r="E566">
        <v>6</v>
      </c>
      <c r="F566" s="3">
        <v>8670</v>
      </c>
      <c r="G566" t="s">
        <v>11</v>
      </c>
      <c r="H566" t="s">
        <v>43</v>
      </c>
    </row>
    <row r="567" spans="1:8" x14ac:dyDescent="0.25">
      <c r="A567" s="1">
        <v>45482</v>
      </c>
      <c r="B567" t="s">
        <v>20</v>
      </c>
      <c r="C567" t="s">
        <v>41</v>
      </c>
      <c r="D567" t="s">
        <v>26</v>
      </c>
      <c r="E567">
        <v>12</v>
      </c>
      <c r="F567" s="3">
        <v>12288</v>
      </c>
      <c r="G567" t="s">
        <v>31</v>
      </c>
      <c r="H567" t="s">
        <v>34</v>
      </c>
    </row>
    <row r="568" spans="1:8" x14ac:dyDescent="0.25">
      <c r="A568" s="1">
        <v>45400</v>
      </c>
      <c r="B568" t="s">
        <v>40</v>
      </c>
      <c r="C568" t="s">
        <v>30</v>
      </c>
      <c r="D568" t="s">
        <v>15</v>
      </c>
      <c r="E568">
        <v>18</v>
      </c>
      <c r="F568" s="3">
        <v>30060</v>
      </c>
      <c r="G568" t="s">
        <v>39</v>
      </c>
      <c r="H568" t="s">
        <v>32</v>
      </c>
    </row>
    <row r="569" spans="1:8" x14ac:dyDescent="0.25">
      <c r="A569" s="1">
        <v>45639</v>
      </c>
      <c r="B569" t="s">
        <v>42</v>
      </c>
      <c r="C569" t="s">
        <v>37</v>
      </c>
      <c r="D569" t="s">
        <v>15</v>
      </c>
      <c r="E569">
        <v>2</v>
      </c>
      <c r="F569" s="3">
        <v>1442</v>
      </c>
      <c r="G569" t="s">
        <v>27</v>
      </c>
      <c r="H569" t="s">
        <v>19</v>
      </c>
    </row>
    <row r="570" spans="1:8" x14ac:dyDescent="0.25">
      <c r="A570" s="1">
        <v>45997</v>
      </c>
      <c r="B570" t="s">
        <v>42</v>
      </c>
      <c r="C570" t="s">
        <v>38</v>
      </c>
      <c r="D570" t="s">
        <v>22</v>
      </c>
      <c r="E570">
        <v>4</v>
      </c>
      <c r="F570" s="3">
        <v>3684</v>
      </c>
      <c r="G570" t="s">
        <v>11</v>
      </c>
      <c r="H570" t="s">
        <v>32</v>
      </c>
    </row>
    <row r="571" spans="1:8" x14ac:dyDescent="0.25">
      <c r="A571" s="1">
        <v>45139</v>
      </c>
      <c r="B571" t="s">
        <v>46</v>
      </c>
      <c r="C571" t="s">
        <v>44</v>
      </c>
      <c r="D571" t="s">
        <v>45</v>
      </c>
      <c r="E571">
        <v>1</v>
      </c>
      <c r="F571" s="3">
        <v>1008</v>
      </c>
      <c r="G571" t="s">
        <v>16</v>
      </c>
      <c r="H571" t="s">
        <v>23</v>
      </c>
    </row>
    <row r="572" spans="1:8" x14ac:dyDescent="0.25">
      <c r="A572" s="1">
        <v>45084</v>
      </c>
      <c r="B572" t="s">
        <v>18</v>
      </c>
      <c r="C572" t="s">
        <v>41</v>
      </c>
      <c r="D572" t="s">
        <v>26</v>
      </c>
      <c r="E572">
        <v>8</v>
      </c>
      <c r="F572" s="3">
        <v>5728</v>
      </c>
      <c r="G572" t="s">
        <v>16</v>
      </c>
      <c r="H572" t="s">
        <v>19</v>
      </c>
    </row>
    <row r="573" spans="1:8" x14ac:dyDescent="0.25">
      <c r="A573" s="1">
        <v>45197</v>
      </c>
      <c r="B573" t="s">
        <v>24</v>
      </c>
      <c r="C573" t="s">
        <v>41</v>
      </c>
      <c r="D573" t="s">
        <v>26</v>
      </c>
      <c r="E573">
        <v>1</v>
      </c>
      <c r="F573" s="3">
        <v>218</v>
      </c>
      <c r="G573" t="s">
        <v>27</v>
      </c>
      <c r="H573" t="s">
        <v>43</v>
      </c>
    </row>
    <row r="574" spans="1:8" x14ac:dyDescent="0.25">
      <c r="A574" s="1">
        <v>45733</v>
      </c>
      <c r="B574" t="s">
        <v>48</v>
      </c>
      <c r="C574" t="s">
        <v>25</v>
      </c>
      <c r="D574" t="s">
        <v>26</v>
      </c>
      <c r="E574">
        <v>7</v>
      </c>
      <c r="F574" s="3">
        <v>651</v>
      </c>
      <c r="G574" t="s">
        <v>11</v>
      </c>
      <c r="H574" t="s">
        <v>43</v>
      </c>
    </row>
    <row r="575" spans="1:8" x14ac:dyDescent="0.25">
      <c r="A575" s="1">
        <v>45794</v>
      </c>
      <c r="B575" t="s">
        <v>13</v>
      </c>
      <c r="C575" t="s">
        <v>21</v>
      </c>
      <c r="D575" t="s">
        <v>22</v>
      </c>
      <c r="E575">
        <v>8</v>
      </c>
      <c r="F575" s="3">
        <v>760</v>
      </c>
      <c r="G575" t="s">
        <v>27</v>
      </c>
      <c r="H575" t="s">
        <v>19</v>
      </c>
    </row>
    <row r="576" spans="1:8" x14ac:dyDescent="0.25">
      <c r="A576" s="1">
        <v>45535</v>
      </c>
      <c r="B576" t="s">
        <v>46</v>
      </c>
      <c r="C576" t="s">
        <v>35</v>
      </c>
      <c r="D576" t="s">
        <v>36</v>
      </c>
      <c r="E576">
        <v>5</v>
      </c>
      <c r="F576" s="3">
        <v>6835</v>
      </c>
      <c r="G576" t="s">
        <v>16</v>
      </c>
      <c r="H576" t="s">
        <v>43</v>
      </c>
    </row>
    <row r="577" spans="1:8" x14ac:dyDescent="0.25">
      <c r="A577" s="1">
        <v>45657</v>
      </c>
      <c r="B577" t="s">
        <v>42</v>
      </c>
      <c r="C577" t="s">
        <v>21</v>
      </c>
      <c r="D577" t="s">
        <v>22</v>
      </c>
      <c r="E577">
        <v>8</v>
      </c>
      <c r="F577" s="3">
        <v>5208</v>
      </c>
      <c r="G577" t="s">
        <v>31</v>
      </c>
      <c r="H577" t="s">
        <v>12</v>
      </c>
    </row>
    <row r="578" spans="1:8" x14ac:dyDescent="0.25">
      <c r="A578" s="1">
        <v>45777</v>
      </c>
      <c r="B578" t="s">
        <v>40</v>
      </c>
      <c r="C578" t="s">
        <v>41</v>
      </c>
      <c r="D578" t="s">
        <v>26</v>
      </c>
      <c r="E578">
        <v>20</v>
      </c>
      <c r="F578" s="3">
        <v>14780</v>
      </c>
      <c r="G578" t="s">
        <v>16</v>
      </c>
      <c r="H578" t="s">
        <v>43</v>
      </c>
    </row>
    <row r="579" spans="1:8" x14ac:dyDescent="0.25">
      <c r="A579" s="1">
        <v>45202</v>
      </c>
      <c r="B579" t="s">
        <v>33</v>
      </c>
      <c r="C579" t="s">
        <v>21</v>
      </c>
      <c r="D579" t="s">
        <v>22</v>
      </c>
      <c r="E579">
        <v>19</v>
      </c>
      <c r="F579" s="3">
        <v>24073</v>
      </c>
      <c r="G579" t="s">
        <v>16</v>
      </c>
      <c r="H579" t="s">
        <v>43</v>
      </c>
    </row>
    <row r="580" spans="1:8" x14ac:dyDescent="0.25">
      <c r="A580" s="1">
        <v>45249</v>
      </c>
      <c r="B580" t="s">
        <v>8</v>
      </c>
      <c r="C580" t="s">
        <v>9</v>
      </c>
      <c r="D580" t="s">
        <v>10</v>
      </c>
      <c r="E580">
        <v>20</v>
      </c>
      <c r="F580" s="3">
        <v>5580</v>
      </c>
      <c r="G580" t="s">
        <v>39</v>
      </c>
      <c r="H580" t="s">
        <v>19</v>
      </c>
    </row>
    <row r="581" spans="1:8" x14ac:dyDescent="0.25">
      <c r="A581" s="1">
        <v>45043</v>
      </c>
      <c r="B581" t="s">
        <v>40</v>
      </c>
      <c r="C581" t="s">
        <v>25</v>
      </c>
      <c r="D581" t="s">
        <v>26</v>
      </c>
      <c r="E581">
        <v>7</v>
      </c>
      <c r="F581" s="3">
        <v>5369</v>
      </c>
      <c r="G581" t="s">
        <v>31</v>
      </c>
      <c r="H581" t="s">
        <v>12</v>
      </c>
    </row>
    <row r="582" spans="1:8" x14ac:dyDescent="0.25">
      <c r="A582" s="1">
        <v>45859</v>
      </c>
      <c r="B582" t="s">
        <v>20</v>
      </c>
      <c r="C582" t="s">
        <v>38</v>
      </c>
      <c r="D582" t="s">
        <v>22</v>
      </c>
      <c r="E582">
        <v>17</v>
      </c>
      <c r="F582" s="3">
        <v>28186</v>
      </c>
      <c r="G582" t="s">
        <v>39</v>
      </c>
      <c r="H582" t="s">
        <v>12</v>
      </c>
    </row>
    <row r="583" spans="1:8" x14ac:dyDescent="0.25">
      <c r="A583" s="1">
        <v>45016</v>
      </c>
      <c r="B583" t="s">
        <v>48</v>
      </c>
      <c r="C583" t="s">
        <v>9</v>
      </c>
      <c r="D583" t="s">
        <v>10</v>
      </c>
      <c r="E583">
        <v>11</v>
      </c>
      <c r="F583" s="3">
        <v>21439</v>
      </c>
      <c r="G583" t="s">
        <v>27</v>
      </c>
      <c r="H583" t="s">
        <v>28</v>
      </c>
    </row>
    <row r="584" spans="1:8" x14ac:dyDescent="0.25">
      <c r="A584" s="1">
        <v>45109</v>
      </c>
      <c r="B584" t="s">
        <v>20</v>
      </c>
      <c r="C584" t="s">
        <v>9</v>
      </c>
      <c r="D584" t="s">
        <v>10</v>
      </c>
      <c r="E584">
        <v>14</v>
      </c>
      <c r="F584" s="3">
        <v>19628</v>
      </c>
      <c r="G584" t="s">
        <v>16</v>
      </c>
      <c r="H584" t="s">
        <v>23</v>
      </c>
    </row>
    <row r="585" spans="1:8" x14ac:dyDescent="0.25">
      <c r="A585" s="1">
        <v>44927</v>
      </c>
      <c r="B585" t="s">
        <v>29</v>
      </c>
      <c r="C585" t="s">
        <v>25</v>
      </c>
      <c r="D585" t="s">
        <v>26</v>
      </c>
      <c r="E585">
        <v>12</v>
      </c>
      <c r="F585" s="3">
        <v>3984</v>
      </c>
      <c r="G585" t="s">
        <v>27</v>
      </c>
      <c r="H585" t="s">
        <v>28</v>
      </c>
    </row>
    <row r="586" spans="1:8" x14ac:dyDescent="0.25">
      <c r="A586" s="1">
        <v>45784</v>
      </c>
      <c r="B586" t="s">
        <v>13</v>
      </c>
      <c r="C586" t="s">
        <v>14</v>
      </c>
      <c r="D586" t="s">
        <v>15</v>
      </c>
      <c r="E586">
        <v>11</v>
      </c>
      <c r="F586" s="3">
        <v>10956</v>
      </c>
      <c r="G586" t="s">
        <v>31</v>
      </c>
      <c r="H586" t="s">
        <v>17</v>
      </c>
    </row>
    <row r="587" spans="1:8" x14ac:dyDescent="0.25">
      <c r="A587" s="1">
        <v>46021</v>
      </c>
      <c r="B587" t="s">
        <v>42</v>
      </c>
      <c r="C587" t="s">
        <v>38</v>
      </c>
      <c r="D587" t="s">
        <v>22</v>
      </c>
      <c r="E587">
        <v>13</v>
      </c>
      <c r="F587" s="3">
        <v>7774</v>
      </c>
      <c r="G587" t="s">
        <v>11</v>
      </c>
      <c r="H587" t="s">
        <v>17</v>
      </c>
    </row>
    <row r="588" spans="1:8" x14ac:dyDescent="0.25">
      <c r="A588" s="1">
        <v>45302</v>
      </c>
      <c r="B588" t="s">
        <v>29</v>
      </c>
      <c r="C588" t="s">
        <v>14</v>
      </c>
      <c r="D588" t="s">
        <v>15</v>
      </c>
      <c r="E588">
        <v>15</v>
      </c>
      <c r="F588" s="3">
        <v>27240</v>
      </c>
      <c r="G588" t="s">
        <v>31</v>
      </c>
      <c r="H588" t="s">
        <v>28</v>
      </c>
    </row>
    <row r="589" spans="1:8" x14ac:dyDescent="0.25">
      <c r="A589" s="1">
        <v>45009</v>
      </c>
      <c r="B589" t="s">
        <v>48</v>
      </c>
      <c r="C589" t="s">
        <v>41</v>
      </c>
      <c r="D589" t="s">
        <v>26</v>
      </c>
      <c r="E589">
        <v>15</v>
      </c>
      <c r="F589" s="3">
        <v>4920</v>
      </c>
      <c r="G589" t="s">
        <v>27</v>
      </c>
      <c r="H589" t="s">
        <v>34</v>
      </c>
    </row>
    <row r="590" spans="1:8" x14ac:dyDescent="0.25">
      <c r="A590" s="1">
        <v>44940</v>
      </c>
      <c r="B590" t="s">
        <v>29</v>
      </c>
      <c r="C590" t="s">
        <v>38</v>
      </c>
      <c r="D590" t="s">
        <v>22</v>
      </c>
      <c r="E590">
        <v>1</v>
      </c>
      <c r="F590" s="3">
        <v>1844</v>
      </c>
      <c r="G590" t="s">
        <v>27</v>
      </c>
      <c r="H590" t="s">
        <v>19</v>
      </c>
    </row>
    <row r="591" spans="1:8" x14ac:dyDescent="0.25">
      <c r="A591" s="1">
        <v>46020</v>
      </c>
      <c r="B591" t="s">
        <v>42</v>
      </c>
      <c r="C591" t="s">
        <v>30</v>
      </c>
      <c r="D591" t="s">
        <v>15</v>
      </c>
      <c r="E591">
        <v>8</v>
      </c>
      <c r="F591" s="3">
        <v>11024</v>
      </c>
      <c r="G591" t="s">
        <v>16</v>
      </c>
      <c r="H591" t="s">
        <v>34</v>
      </c>
    </row>
    <row r="592" spans="1:8" x14ac:dyDescent="0.25">
      <c r="A592" s="1">
        <v>45417</v>
      </c>
      <c r="B592" t="s">
        <v>13</v>
      </c>
      <c r="C592" t="s">
        <v>9</v>
      </c>
      <c r="D592" t="s">
        <v>10</v>
      </c>
      <c r="E592">
        <v>12</v>
      </c>
      <c r="F592" s="3">
        <v>8328</v>
      </c>
      <c r="G592" t="s">
        <v>27</v>
      </c>
      <c r="H592" t="s">
        <v>34</v>
      </c>
    </row>
    <row r="593" spans="1:8" x14ac:dyDescent="0.25">
      <c r="A593" s="1">
        <v>45644</v>
      </c>
      <c r="B593" t="s">
        <v>42</v>
      </c>
      <c r="C593" t="s">
        <v>41</v>
      </c>
      <c r="D593" t="s">
        <v>26</v>
      </c>
      <c r="E593">
        <v>3</v>
      </c>
      <c r="F593" s="3">
        <v>2193</v>
      </c>
      <c r="G593" t="s">
        <v>16</v>
      </c>
      <c r="H593" t="s">
        <v>19</v>
      </c>
    </row>
    <row r="594" spans="1:8" x14ac:dyDescent="0.25">
      <c r="A594" s="1">
        <v>45771</v>
      </c>
      <c r="B594" t="s">
        <v>40</v>
      </c>
      <c r="C594" t="s">
        <v>9</v>
      </c>
      <c r="D594" t="s">
        <v>10</v>
      </c>
      <c r="E594">
        <v>18</v>
      </c>
      <c r="F594" s="3">
        <v>7506</v>
      </c>
      <c r="G594" t="s">
        <v>39</v>
      </c>
      <c r="H594" t="s">
        <v>19</v>
      </c>
    </row>
    <row r="595" spans="1:8" x14ac:dyDescent="0.25">
      <c r="A595" s="1">
        <v>45418</v>
      </c>
      <c r="B595" t="s">
        <v>13</v>
      </c>
      <c r="C595" t="s">
        <v>38</v>
      </c>
      <c r="D595" t="s">
        <v>22</v>
      </c>
      <c r="E595">
        <v>3</v>
      </c>
      <c r="F595" s="3">
        <v>843</v>
      </c>
      <c r="G595" t="s">
        <v>16</v>
      </c>
      <c r="H595" t="s">
        <v>34</v>
      </c>
    </row>
    <row r="596" spans="1:8" x14ac:dyDescent="0.25">
      <c r="A596" s="1">
        <v>45476</v>
      </c>
      <c r="B596" t="s">
        <v>20</v>
      </c>
      <c r="C596" t="s">
        <v>35</v>
      </c>
      <c r="D596" t="s">
        <v>36</v>
      </c>
      <c r="E596">
        <v>3</v>
      </c>
      <c r="F596" s="3">
        <v>2907</v>
      </c>
      <c r="G596" t="s">
        <v>39</v>
      </c>
      <c r="H596" t="s">
        <v>34</v>
      </c>
    </row>
    <row r="597" spans="1:8" x14ac:dyDescent="0.25">
      <c r="A597" s="1">
        <v>45448</v>
      </c>
      <c r="B597" t="s">
        <v>18</v>
      </c>
      <c r="C597" t="s">
        <v>30</v>
      </c>
      <c r="D597" t="s">
        <v>15</v>
      </c>
      <c r="E597">
        <v>15</v>
      </c>
      <c r="F597" s="3">
        <v>18825</v>
      </c>
      <c r="G597" t="s">
        <v>27</v>
      </c>
      <c r="H597" t="s">
        <v>28</v>
      </c>
    </row>
    <row r="598" spans="1:8" x14ac:dyDescent="0.25">
      <c r="A598" s="1">
        <v>45566</v>
      </c>
      <c r="B598" t="s">
        <v>33</v>
      </c>
      <c r="C598" t="s">
        <v>21</v>
      </c>
      <c r="D598" t="s">
        <v>22</v>
      </c>
      <c r="E598">
        <v>14</v>
      </c>
      <c r="F598" s="3">
        <v>8218</v>
      </c>
      <c r="G598" t="s">
        <v>27</v>
      </c>
      <c r="H598" t="s">
        <v>23</v>
      </c>
    </row>
    <row r="599" spans="1:8" x14ac:dyDescent="0.25">
      <c r="A599" s="1">
        <v>45425</v>
      </c>
      <c r="B599" t="s">
        <v>13</v>
      </c>
      <c r="C599" t="s">
        <v>30</v>
      </c>
      <c r="D599" t="s">
        <v>15</v>
      </c>
      <c r="E599">
        <v>14</v>
      </c>
      <c r="F599" s="3">
        <v>14392</v>
      </c>
      <c r="G599" t="s">
        <v>27</v>
      </c>
      <c r="H599" t="s">
        <v>23</v>
      </c>
    </row>
    <row r="600" spans="1:8" x14ac:dyDescent="0.25">
      <c r="A600" s="1">
        <v>45525</v>
      </c>
      <c r="B600" t="s">
        <v>46</v>
      </c>
      <c r="C600" t="s">
        <v>25</v>
      </c>
      <c r="D600" t="s">
        <v>26</v>
      </c>
      <c r="E600">
        <v>6</v>
      </c>
      <c r="F600" s="3">
        <v>6744</v>
      </c>
      <c r="G600" t="s">
        <v>27</v>
      </c>
      <c r="H600" t="s">
        <v>23</v>
      </c>
    </row>
    <row r="601" spans="1:8" x14ac:dyDescent="0.25">
      <c r="A601" s="1">
        <v>45614</v>
      </c>
      <c r="B601" t="s">
        <v>8</v>
      </c>
      <c r="C601" t="s">
        <v>38</v>
      </c>
      <c r="D601" t="s">
        <v>22</v>
      </c>
      <c r="E601">
        <v>17</v>
      </c>
      <c r="F601" s="3">
        <v>17952</v>
      </c>
      <c r="G601" t="s">
        <v>39</v>
      </c>
      <c r="H601" t="s">
        <v>28</v>
      </c>
    </row>
    <row r="602" spans="1:8" x14ac:dyDescent="0.25">
      <c r="A602" s="1">
        <v>45504</v>
      </c>
      <c r="B602" t="s">
        <v>20</v>
      </c>
      <c r="C602" t="s">
        <v>38</v>
      </c>
      <c r="D602" t="s">
        <v>22</v>
      </c>
      <c r="E602">
        <v>9</v>
      </c>
      <c r="F602" s="3">
        <v>6750</v>
      </c>
      <c r="G602" t="s">
        <v>11</v>
      </c>
      <c r="H602" t="s">
        <v>12</v>
      </c>
    </row>
    <row r="603" spans="1:8" x14ac:dyDescent="0.25">
      <c r="A603" s="1">
        <v>45281</v>
      </c>
      <c r="B603" t="s">
        <v>42</v>
      </c>
      <c r="C603" t="s">
        <v>9</v>
      </c>
      <c r="D603" t="s">
        <v>10</v>
      </c>
      <c r="E603">
        <v>15</v>
      </c>
      <c r="F603" s="3">
        <v>20190</v>
      </c>
      <c r="G603" t="s">
        <v>31</v>
      </c>
      <c r="H603" t="s">
        <v>23</v>
      </c>
    </row>
    <row r="604" spans="1:8" x14ac:dyDescent="0.25">
      <c r="A604" s="1">
        <v>44980</v>
      </c>
      <c r="B604" t="s">
        <v>47</v>
      </c>
      <c r="C604" t="s">
        <v>38</v>
      </c>
      <c r="D604" t="s">
        <v>22</v>
      </c>
      <c r="E604">
        <v>12</v>
      </c>
      <c r="F604" s="3">
        <v>5220</v>
      </c>
      <c r="G604" t="s">
        <v>27</v>
      </c>
      <c r="H604" t="s">
        <v>34</v>
      </c>
    </row>
    <row r="605" spans="1:8" x14ac:dyDescent="0.25">
      <c r="A605" s="1">
        <v>45194</v>
      </c>
      <c r="B605" t="s">
        <v>24</v>
      </c>
      <c r="C605" t="s">
        <v>38</v>
      </c>
      <c r="D605" t="s">
        <v>22</v>
      </c>
      <c r="E605">
        <v>1</v>
      </c>
      <c r="F605" s="3">
        <v>367</v>
      </c>
      <c r="G605" t="s">
        <v>16</v>
      </c>
      <c r="H605" t="s">
        <v>32</v>
      </c>
    </row>
    <row r="606" spans="1:8" x14ac:dyDescent="0.25">
      <c r="A606" s="1">
        <v>45910</v>
      </c>
      <c r="B606" t="s">
        <v>24</v>
      </c>
      <c r="C606" t="s">
        <v>21</v>
      </c>
      <c r="D606" t="s">
        <v>22</v>
      </c>
      <c r="E606">
        <v>15</v>
      </c>
      <c r="F606" s="3">
        <v>11340</v>
      </c>
      <c r="G606" t="s">
        <v>11</v>
      </c>
      <c r="H606" t="s">
        <v>43</v>
      </c>
    </row>
    <row r="607" spans="1:8" x14ac:dyDescent="0.25">
      <c r="A607" s="1">
        <v>45119</v>
      </c>
      <c r="B607" t="s">
        <v>20</v>
      </c>
      <c r="C607" t="s">
        <v>25</v>
      </c>
      <c r="D607" t="s">
        <v>26</v>
      </c>
      <c r="E607">
        <v>7</v>
      </c>
      <c r="F607" s="3">
        <v>11088</v>
      </c>
      <c r="G607" t="s">
        <v>31</v>
      </c>
      <c r="H607" t="s">
        <v>19</v>
      </c>
    </row>
    <row r="608" spans="1:8" x14ac:dyDescent="0.25">
      <c r="A608" s="1">
        <v>45579</v>
      </c>
      <c r="B608" t="s">
        <v>33</v>
      </c>
      <c r="C608" t="s">
        <v>35</v>
      </c>
      <c r="D608" t="s">
        <v>36</v>
      </c>
      <c r="E608">
        <v>2</v>
      </c>
      <c r="F608" s="3">
        <v>2676</v>
      </c>
      <c r="G608" t="s">
        <v>39</v>
      </c>
      <c r="H608" t="s">
        <v>19</v>
      </c>
    </row>
    <row r="609" spans="1:8" x14ac:dyDescent="0.25">
      <c r="A609" s="1">
        <v>45173</v>
      </c>
      <c r="B609" t="s">
        <v>24</v>
      </c>
      <c r="C609" t="s">
        <v>44</v>
      </c>
      <c r="D609" t="s">
        <v>45</v>
      </c>
      <c r="E609">
        <v>18</v>
      </c>
      <c r="F609" s="3">
        <v>1170</v>
      </c>
      <c r="G609" t="s">
        <v>16</v>
      </c>
      <c r="H609" t="s">
        <v>12</v>
      </c>
    </row>
    <row r="610" spans="1:8" x14ac:dyDescent="0.25">
      <c r="A610" s="1">
        <v>45508</v>
      </c>
      <c r="B610" t="s">
        <v>46</v>
      </c>
      <c r="C610" t="s">
        <v>9</v>
      </c>
      <c r="D610" t="s">
        <v>10</v>
      </c>
      <c r="E610">
        <v>4</v>
      </c>
      <c r="F610" s="3">
        <v>3820</v>
      </c>
      <c r="G610" t="s">
        <v>11</v>
      </c>
      <c r="H610" t="s">
        <v>34</v>
      </c>
    </row>
    <row r="611" spans="1:8" x14ac:dyDescent="0.25">
      <c r="A611" s="1">
        <v>45993</v>
      </c>
      <c r="B611" t="s">
        <v>42</v>
      </c>
      <c r="C611" t="s">
        <v>14</v>
      </c>
      <c r="D611" t="s">
        <v>15</v>
      </c>
      <c r="E611">
        <v>15</v>
      </c>
      <c r="F611" s="3">
        <v>14430</v>
      </c>
      <c r="G611" t="s">
        <v>31</v>
      </c>
      <c r="H611" t="s">
        <v>19</v>
      </c>
    </row>
    <row r="612" spans="1:8" x14ac:dyDescent="0.25">
      <c r="A612" s="1">
        <v>45574</v>
      </c>
      <c r="B612" t="s">
        <v>33</v>
      </c>
      <c r="C612" t="s">
        <v>41</v>
      </c>
      <c r="D612" t="s">
        <v>26</v>
      </c>
      <c r="E612">
        <v>16</v>
      </c>
      <c r="F612" s="3">
        <v>17552</v>
      </c>
      <c r="G612" t="s">
        <v>16</v>
      </c>
      <c r="H612" t="s">
        <v>19</v>
      </c>
    </row>
    <row r="613" spans="1:8" x14ac:dyDescent="0.25">
      <c r="A613" s="1">
        <v>45561</v>
      </c>
      <c r="B613" t="s">
        <v>24</v>
      </c>
      <c r="C613" t="s">
        <v>25</v>
      </c>
      <c r="D613" t="s">
        <v>26</v>
      </c>
      <c r="E613">
        <v>12</v>
      </c>
      <c r="F613" s="3">
        <v>13680</v>
      </c>
      <c r="G613" t="s">
        <v>27</v>
      </c>
      <c r="H613" t="s">
        <v>17</v>
      </c>
    </row>
    <row r="614" spans="1:8" x14ac:dyDescent="0.25">
      <c r="A614" s="1">
        <v>45278</v>
      </c>
      <c r="B614" t="s">
        <v>42</v>
      </c>
      <c r="C614" t="s">
        <v>9</v>
      </c>
      <c r="D614" t="s">
        <v>10</v>
      </c>
      <c r="E614">
        <v>15</v>
      </c>
      <c r="F614" s="3">
        <v>3255</v>
      </c>
      <c r="G614" t="s">
        <v>39</v>
      </c>
      <c r="H614" t="s">
        <v>19</v>
      </c>
    </row>
    <row r="615" spans="1:8" x14ac:dyDescent="0.25">
      <c r="A615" s="1">
        <v>45834</v>
      </c>
      <c r="B615" t="s">
        <v>18</v>
      </c>
      <c r="C615" t="s">
        <v>37</v>
      </c>
      <c r="D615" t="s">
        <v>15</v>
      </c>
      <c r="E615">
        <v>17</v>
      </c>
      <c r="F615" s="3">
        <v>33592</v>
      </c>
      <c r="G615" t="s">
        <v>39</v>
      </c>
      <c r="H615" t="s">
        <v>12</v>
      </c>
    </row>
    <row r="616" spans="1:8" x14ac:dyDescent="0.25">
      <c r="A616" s="1">
        <v>45433</v>
      </c>
      <c r="B616" t="s">
        <v>13</v>
      </c>
      <c r="C616" t="s">
        <v>25</v>
      </c>
      <c r="D616" t="s">
        <v>26</v>
      </c>
      <c r="E616">
        <v>15</v>
      </c>
      <c r="F616" s="3">
        <v>4275</v>
      </c>
      <c r="G616" t="s">
        <v>27</v>
      </c>
      <c r="H616" t="s">
        <v>28</v>
      </c>
    </row>
    <row r="617" spans="1:8" x14ac:dyDescent="0.25">
      <c r="A617" s="1">
        <v>45227</v>
      </c>
      <c r="B617" t="s">
        <v>33</v>
      </c>
      <c r="C617" t="s">
        <v>9</v>
      </c>
      <c r="D617" t="s">
        <v>10</v>
      </c>
      <c r="E617">
        <v>3</v>
      </c>
      <c r="F617" s="3">
        <v>3819</v>
      </c>
      <c r="G617" t="s">
        <v>16</v>
      </c>
      <c r="H617" t="s">
        <v>43</v>
      </c>
    </row>
    <row r="618" spans="1:8" x14ac:dyDescent="0.25">
      <c r="A618" s="1">
        <v>45835</v>
      </c>
      <c r="B618" t="s">
        <v>18</v>
      </c>
      <c r="C618" t="s">
        <v>44</v>
      </c>
      <c r="D618" t="s">
        <v>45</v>
      </c>
      <c r="E618">
        <v>20</v>
      </c>
      <c r="F618" s="3">
        <v>7440</v>
      </c>
      <c r="G618" t="s">
        <v>39</v>
      </c>
      <c r="H618" t="s">
        <v>12</v>
      </c>
    </row>
    <row r="619" spans="1:8" x14ac:dyDescent="0.25">
      <c r="A619" s="1">
        <v>45314</v>
      </c>
      <c r="B619" t="s">
        <v>29</v>
      </c>
      <c r="C619" t="s">
        <v>38</v>
      </c>
      <c r="D619" t="s">
        <v>22</v>
      </c>
      <c r="E619">
        <v>14</v>
      </c>
      <c r="F619" s="3">
        <v>6104</v>
      </c>
      <c r="G619" t="s">
        <v>39</v>
      </c>
      <c r="H619" t="s">
        <v>17</v>
      </c>
    </row>
    <row r="620" spans="1:8" x14ac:dyDescent="0.25">
      <c r="A620" s="1">
        <v>45468</v>
      </c>
      <c r="B620" t="s">
        <v>18</v>
      </c>
      <c r="C620" t="s">
        <v>41</v>
      </c>
      <c r="D620" t="s">
        <v>26</v>
      </c>
      <c r="E620">
        <v>19</v>
      </c>
      <c r="F620" s="3">
        <v>36119</v>
      </c>
      <c r="G620" t="s">
        <v>31</v>
      </c>
      <c r="H620" t="s">
        <v>17</v>
      </c>
    </row>
    <row r="621" spans="1:8" x14ac:dyDescent="0.25">
      <c r="A621" s="1">
        <v>45673</v>
      </c>
      <c r="B621" t="s">
        <v>29</v>
      </c>
      <c r="C621" t="s">
        <v>35</v>
      </c>
      <c r="D621" t="s">
        <v>36</v>
      </c>
      <c r="E621">
        <v>14</v>
      </c>
      <c r="F621" s="3">
        <v>5348</v>
      </c>
      <c r="G621" t="s">
        <v>39</v>
      </c>
      <c r="H621" t="s">
        <v>19</v>
      </c>
    </row>
    <row r="622" spans="1:8" x14ac:dyDescent="0.25">
      <c r="A622" s="1">
        <v>45297</v>
      </c>
      <c r="B622" t="s">
        <v>29</v>
      </c>
      <c r="C622" t="s">
        <v>41</v>
      </c>
      <c r="D622" t="s">
        <v>26</v>
      </c>
      <c r="E622">
        <v>16</v>
      </c>
      <c r="F622" s="3">
        <v>15136</v>
      </c>
      <c r="G622" t="s">
        <v>27</v>
      </c>
      <c r="H622" t="s">
        <v>32</v>
      </c>
    </row>
    <row r="623" spans="1:8" x14ac:dyDescent="0.25">
      <c r="A623" s="1">
        <v>45262</v>
      </c>
      <c r="B623" t="s">
        <v>42</v>
      </c>
      <c r="C623" t="s">
        <v>21</v>
      </c>
      <c r="D623" t="s">
        <v>22</v>
      </c>
      <c r="E623">
        <v>11</v>
      </c>
      <c r="F623" s="3">
        <v>21626</v>
      </c>
      <c r="G623" t="s">
        <v>31</v>
      </c>
      <c r="H623" t="s">
        <v>34</v>
      </c>
    </row>
    <row r="624" spans="1:8" x14ac:dyDescent="0.25">
      <c r="A624" s="1">
        <v>44939</v>
      </c>
      <c r="B624" t="s">
        <v>29</v>
      </c>
      <c r="C624" t="s">
        <v>44</v>
      </c>
      <c r="D624" t="s">
        <v>45</v>
      </c>
      <c r="E624">
        <v>1</v>
      </c>
      <c r="F624" s="3">
        <v>333</v>
      </c>
      <c r="G624" t="s">
        <v>27</v>
      </c>
      <c r="H624" t="s">
        <v>17</v>
      </c>
    </row>
    <row r="625" spans="1:8" x14ac:dyDescent="0.25">
      <c r="A625" s="1">
        <v>45836</v>
      </c>
      <c r="B625" t="s">
        <v>18</v>
      </c>
      <c r="C625" t="s">
        <v>9</v>
      </c>
      <c r="D625" t="s">
        <v>10</v>
      </c>
      <c r="E625">
        <v>12</v>
      </c>
      <c r="F625" s="3">
        <v>11736</v>
      </c>
      <c r="G625" t="s">
        <v>39</v>
      </c>
      <c r="H625" t="s">
        <v>43</v>
      </c>
    </row>
    <row r="626" spans="1:8" x14ac:dyDescent="0.25">
      <c r="A626" s="1">
        <v>45541</v>
      </c>
      <c r="B626" t="s">
        <v>24</v>
      </c>
      <c r="C626" t="s">
        <v>9</v>
      </c>
      <c r="D626" t="s">
        <v>10</v>
      </c>
      <c r="E626">
        <v>14</v>
      </c>
      <c r="F626" s="3">
        <v>18326</v>
      </c>
      <c r="G626" t="s">
        <v>27</v>
      </c>
      <c r="H626" t="s">
        <v>17</v>
      </c>
    </row>
    <row r="627" spans="1:8" x14ac:dyDescent="0.25">
      <c r="A627" s="1">
        <v>45046</v>
      </c>
      <c r="B627" t="s">
        <v>40</v>
      </c>
      <c r="C627" t="s">
        <v>21</v>
      </c>
      <c r="D627" t="s">
        <v>22</v>
      </c>
      <c r="E627">
        <v>14</v>
      </c>
      <c r="F627" s="3">
        <v>25270</v>
      </c>
      <c r="G627" t="s">
        <v>39</v>
      </c>
      <c r="H627" t="s">
        <v>12</v>
      </c>
    </row>
    <row r="628" spans="1:8" x14ac:dyDescent="0.25">
      <c r="A628" s="1">
        <v>45378</v>
      </c>
      <c r="B628" t="s">
        <v>48</v>
      </c>
      <c r="C628" t="s">
        <v>30</v>
      </c>
      <c r="D628" t="s">
        <v>15</v>
      </c>
      <c r="E628">
        <v>20</v>
      </c>
      <c r="F628" s="3">
        <v>24340</v>
      </c>
      <c r="G628" t="s">
        <v>11</v>
      </c>
      <c r="H628" t="s">
        <v>12</v>
      </c>
    </row>
    <row r="629" spans="1:8" x14ac:dyDescent="0.25">
      <c r="A629" s="1">
        <v>45638</v>
      </c>
      <c r="B629" t="s">
        <v>42</v>
      </c>
      <c r="C629" t="s">
        <v>25</v>
      </c>
      <c r="D629" t="s">
        <v>26</v>
      </c>
      <c r="E629">
        <v>15</v>
      </c>
      <c r="F629" s="3">
        <v>27120</v>
      </c>
      <c r="G629" t="s">
        <v>31</v>
      </c>
      <c r="H629" t="s">
        <v>34</v>
      </c>
    </row>
    <row r="630" spans="1:8" x14ac:dyDescent="0.25">
      <c r="A630" s="1">
        <v>45919</v>
      </c>
      <c r="B630" t="s">
        <v>24</v>
      </c>
      <c r="C630" t="s">
        <v>38</v>
      </c>
      <c r="D630" t="s">
        <v>22</v>
      </c>
      <c r="E630">
        <v>20</v>
      </c>
      <c r="F630" s="3">
        <v>27880</v>
      </c>
      <c r="G630" t="s">
        <v>39</v>
      </c>
      <c r="H630" t="s">
        <v>32</v>
      </c>
    </row>
    <row r="631" spans="1:8" x14ac:dyDescent="0.25">
      <c r="A631" s="1">
        <v>45763</v>
      </c>
      <c r="B631" t="s">
        <v>40</v>
      </c>
      <c r="C631" t="s">
        <v>35</v>
      </c>
      <c r="D631" t="s">
        <v>36</v>
      </c>
      <c r="E631">
        <v>19</v>
      </c>
      <c r="F631" s="3">
        <v>27037</v>
      </c>
      <c r="G631" t="s">
        <v>11</v>
      </c>
      <c r="H631" t="s">
        <v>19</v>
      </c>
    </row>
    <row r="632" spans="1:8" x14ac:dyDescent="0.25">
      <c r="A632" s="1">
        <v>45327</v>
      </c>
      <c r="B632" t="s">
        <v>47</v>
      </c>
      <c r="C632" t="s">
        <v>9</v>
      </c>
      <c r="D632" t="s">
        <v>10</v>
      </c>
      <c r="E632">
        <v>6</v>
      </c>
      <c r="F632" s="3">
        <v>1026</v>
      </c>
      <c r="G632" t="s">
        <v>39</v>
      </c>
      <c r="H632" t="s">
        <v>12</v>
      </c>
    </row>
    <row r="633" spans="1:8" x14ac:dyDescent="0.25">
      <c r="A633" s="1">
        <v>45559</v>
      </c>
      <c r="B633" t="s">
        <v>24</v>
      </c>
      <c r="C633" t="s">
        <v>38</v>
      </c>
      <c r="D633" t="s">
        <v>22</v>
      </c>
      <c r="E633">
        <v>9</v>
      </c>
      <c r="F633" s="3">
        <v>13698</v>
      </c>
      <c r="G633" t="s">
        <v>31</v>
      </c>
      <c r="H633" t="s">
        <v>32</v>
      </c>
    </row>
    <row r="634" spans="1:8" x14ac:dyDescent="0.25">
      <c r="A634" s="1">
        <v>45606</v>
      </c>
      <c r="B634" t="s">
        <v>8</v>
      </c>
      <c r="C634" t="s">
        <v>44</v>
      </c>
      <c r="D634" t="s">
        <v>45</v>
      </c>
      <c r="E634">
        <v>13</v>
      </c>
      <c r="F634" s="3">
        <v>1612</v>
      </c>
      <c r="G634" t="s">
        <v>11</v>
      </c>
      <c r="H634" t="s">
        <v>23</v>
      </c>
    </row>
    <row r="635" spans="1:8" x14ac:dyDescent="0.25">
      <c r="A635" s="1">
        <v>45518</v>
      </c>
      <c r="B635" t="s">
        <v>46</v>
      </c>
      <c r="C635" t="s">
        <v>44</v>
      </c>
      <c r="D635" t="s">
        <v>45</v>
      </c>
      <c r="E635">
        <v>16</v>
      </c>
      <c r="F635" s="3">
        <v>23152</v>
      </c>
      <c r="G635" t="s">
        <v>16</v>
      </c>
      <c r="H635" t="s">
        <v>28</v>
      </c>
    </row>
    <row r="636" spans="1:8" x14ac:dyDescent="0.25">
      <c r="A636" s="1">
        <v>45061</v>
      </c>
      <c r="B636" t="s">
        <v>13</v>
      </c>
      <c r="C636" t="s">
        <v>14</v>
      </c>
      <c r="D636" t="s">
        <v>15</v>
      </c>
      <c r="E636">
        <v>17</v>
      </c>
      <c r="F636" s="3">
        <v>27897</v>
      </c>
      <c r="G636" t="s">
        <v>39</v>
      </c>
      <c r="H636" t="s">
        <v>19</v>
      </c>
    </row>
    <row r="637" spans="1:8" x14ac:dyDescent="0.25">
      <c r="A637" s="1">
        <v>45454</v>
      </c>
      <c r="B637" t="s">
        <v>18</v>
      </c>
      <c r="C637" t="s">
        <v>9</v>
      </c>
      <c r="D637" t="s">
        <v>10</v>
      </c>
      <c r="E637">
        <v>14</v>
      </c>
      <c r="F637" s="3">
        <v>16366</v>
      </c>
      <c r="G637" t="s">
        <v>39</v>
      </c>
      <c r="H637" t="s">
        <v>43</v>
      </c>
    </row>
    <row r="638" spans="1:8" x14ac:dyDescent="0.25">
      <c r="A638" s="1">
        <v>45110</v>
      </c>
      <c r="B638" t="s">
        <v>20</v>
      </c>
      <c r="C638" t="s">
        <v>38</v>
      </c>
      <c r="D638" t="s">
        <v>22</v>
      </c>
      <c r="E638">
        <v>7</v>
      </c>
      <c r="F638" s="3">
        <v>3640</v>
      </c>
      <c r="G638" t="s">
        <v>16</v>
      </c>
      <c r="H638" t="s">
        <v>43</v>
      </c>
    </row>
    <row r="639" spans="1:8" x14ac:dyDescent="0.25">
      <c r="A639" s="1">
        <v>45202</v>
      </c>
      <c r="B639" t="s">
        <v>33</v>
      </c>
      <c r="C639" t="s">
        <v>25</v>
      </c>
      <c r="D639" t="s">
        <v>26</v>
      </c>
      <c r="E639">
        <v>5</v>
      </c>
      <c r="F639" s="3">
        <v>435</v>
      </c>
      <c r="G639" t="s">
        <v>31</v>
      </c>
      <c r="H639" t="s">
        <v>23</v>
      </c>
    </row>
    <row r="640" spans="1:8" x14ac:dyDescent="0.25">
      <c r="A640" s="1">
        <v>45104</v>
      </c>
      <c r="B640" t="s">
        <v>18</v>
      </c>
      <c r="C640" t="s">
        <v>44</v>
      </c>
      <c r="D640" t="s">
        <v>45</v>
      </c>
      <c r="E640">
        <v>2</v>
      </c>
      <c r="F640" s="3">
        <v>270</v>
      </c>
      <c r="G640" t="s">
        <v>39</v>
      </c>
      <c r="H640" t="s">
        <v>19</v>
      </c>
    </row>
    <row r="641" spans="1:8" x14ac:dyDescent="0.25">
      <c r="A641" s="1">
        <v>45243</v>
      </c>
      <c r="B641" t="s">
        <v>8</v>
      </c>
      <c r="C641" t="s">
        <v>37</v>
      </c>
      <c r="D641" t="s">
        <v>15</v>
      </c>
      <c r="E641">
        <v>14</v>
      </c>
      <c r="F641" s="3">
        <v>1778</v>
      </c>
      <c r="G641" t="s">
        <v>27</v>
      </c>
      <c r="H641" t="s">
        <v>12</v>
      </c>
    </row>
    <row r="642" spans="1:8" x14ac:dyDescent="0.25">
      <c r="A642" s="1">
        <v>45741</v>
      </c>
      <c r="B642" t="s">
        <v>48</v>
      </c>
      <c r="C642" t="s">
        <v>41</v>
      </c>
      <c r="D642" t="s">
        <v>26</v>
      </c>
      <c r="E642">
        <v>4</v>
      </c>
      <c r="F642" s="3">
        <v>1788</v>
      </c>
      <c r="G642" t="s">
        <v>16</v>
      </c>
      <c r="H642" t="s">
        <v>19</v>
      </c>
    </row>
    <row r="643" spans="1:8" x14ac:dyDescent="0.25">
      <c r="A643" s="1">
        <v>45870</v>
      </c>
      <c r="B643" t="s">
        <v>46</v>
      </c>
      <c r="C643" t="s">
        <v>9</v>
      </c>
      <c r="D643" t="s">
        <v>10</v>
      </c>
      <c r="E643">
        <v>13</v>
      </c>
      <c r="F643" s="3">
        <v>9451</v>
      </c>
      <c r="G643" t="s">
        <v>11</v>
      </c>
      <c r="H643" t="s">
        <v>23</v>
      </c>
    </row>
    <row r="644" spans="1:8" x14ac:dyDescent="0.25">
      <c r="A644" s="1">
        <v>45060</v>
      </c>
      <c r="B644" t="s">
        <v>13</v>
      </c>
      <c r="C644" t="s">
        <v>44</v>
      </c>
      <c r="D644" t="s">
        <v>45</v>
      </c>
      <c r="E644">
        <v>4</v>
      </c>
      <c r="F644" s="3">
        <v>4400</v>
      </c>
      <c r="G644" t="s">
        <v>27</v>
      </c>
      <c r="H644" t="s">
        <v>34</v>
      </c>
    </row>
    <row r="645" spans="1:8" x14ac:dyDescent="0.25">
      <c r="A645" s="1">
        <v>45737</v>
      </c>
      <c r="B645" t="s">
        <v>48</v>
      </c>
      <c r="C645" t="s">
        <v>9</v>
      </c>
      <c r="D645" t="s">
        <v>10</v>
      </c>
      <c r="E645">
        <v>5</v>
      </c>
      <c r="F645" s="3">
        <v>3735</v>
      </c>
      <c r="G645" t="s">
        <v>27</v>
      </c>
      <c r="H645" t="s">
        <v>32</v>
      </c>
    </row>
    <row r="646" spans="1:8" x14ac:dyDescent="0.25">
      <c r="A646" s="1">
        <v>45104</v>
      </c>
      <c r="B646" t="s">
        <v>18</v>
      </c>
      <c r="C646" t="s">
        <v>38</v>
      </c>
      <c r="D646" t="s">
        <v>22</v>
      </c>
      <c r="E646">
        <v>13</v>
      </c>
      <c r="F646" s="3">
        <v>2522</v>
      </c>
      <c r="G646" t="s">
        <v>31</v>
      </c>
      <c r="H646" t="s">
        <v>32</v>
      </c>
    </row>
    <row r="647" spans="1:8" x14ac:dyDescent="0.25">
      <c r="A647" s="1">
        <v>45040</v>
      </c>
      <c r="B647" t="s">
        <v>40</v>
      </c>
      <c r="C647" t="s">
        <v>41</v>
      </c>
      <c r="D647" t="s">
        <v>26</v>
      </c>
      <c r="E647">
        <v>9</v>
      </c>
      <c r="F647" s="3">
        <v>15984</v>
      </c>
      <c r="G647" t="s">
        <v>27</v>
      </c>
      <c r="H647" t="s">
        <v>32</v>
      </c>
    </row>
    <row r="648" spans="1:8" x14ac:dyDescent="0.25">
      <c r="A648" s="1">
        <v>45594</v>
      </c>
      <c r="B648" t="s">
        <v>33</v>
      </c>
      <c r="C648" t="s">
        <v>14</v>
      </c>
      <c r="D648" t="s">
        <v>15</v>
      </c>
      <c r="E648">
        <v>6</v>
      </c>
      <c r="F648" s="3">
        <v>5916</v>
      </c>
      <c r="G648" t="s">
        <v>31</v>
      </c>
      <c r="H648" t="s">
        <v>28</v>
      </c>
    </row>
    <row r="649" spans="1:8" x14ac:dyDescent="0.25">
      <c r="A649" s="1">
        <v>45437</v>
      </c>
      <c r="B649" t="s">
        <v>13</v>
      </c>
      <c r="C649" t="s">
        <v>30</v>
      </c>
      <c r="D649" t="s">
        <v>15</v>
      </c>
      <c r="E649">
        <v>16</v>
      </c>
      <c r="F649" s="3">
        <v>28336</v>
      </c>
      <c r="G649" t="s">
        <v>31</v>
      </c>
      <c r="H649" t="s">
        <v>43</v>
      </c>
    </row>
    <row r="650" spans="1:8" x14ac:dyDescent="0.25">
      <c r="A650" s="1">
        <v>45082</v>
      </c>
      <c r="B650" t="s">
        <v>18</v>
      </c>
      <c r="C650" t="s">
        <v>44</v>
      </c>
      <c r="D650" t="s">
        <v>45</v>
      </c>
      <c r="E650">
        <v>8</v>
      </c>
      <c r="F650" s="3">
        <v>5336</v>
      </c>
      <c r="G650" t="s">
        <v>39</v>
      </c>
      <c r="H650" t="s">
        <v>12</v>
      </c>
    </row>
    <row r="651" spans="1:8" x14ac:dyDescent="0.25">
      <c r="A651" s="1">
        <v>45598</v>
      </c>
      <c r="B651" t="s">
        <v>8</v>
      </c>
      <c r="C651" t="s">
        <v>21</v>
      </c>
      <c r="D651" t="s">
        <v>22</v>
      </c>
      <c r="E651">
        <v>9</v>
      </c>
      <c r="F651" s="3">
        <v>3024</v>
      </c>
      <c r="G651" t="s">
        <v>27</v>
      </c>
      <c r="H651" t="s">
        <v>32</v>
      </c>
    </row>
    <row r="652" spans="1:8" x14ac:dyDescent="0.25">
      <c r="A652" s="1">
        <v>45671</v>
      </c>
      <c r="B652" t="s">
        <v>29</v>
      </c>
      <c r="C652" t="s">
        <v>14</v>
      </c>
      <c r="D652" t="s">
        <v>15</v>
      </c>
      <c r="E652">
        <v>19</v>
      </c>
      <c r="F652" s="3">
        <v>17518</v>
      </c>
      <c r="G652" t="s">
        <v>31</v>
      </c>
      <c r="H652" t="s">
        <v>17</v>
      </c>
    </row>
    <row r="653" spans="1:8" x14ac:dyDescent="0.25">
      <c r="A653" s="1">
        <v>45377</v>
      </c>
      <c r="B653" t="s">
        <v>48</v>
      </c>
      <c r="C653" t="s">
        <v>35</v>
      </c>
      <c r="D653" t="s">
        <v>36</v>
      </c>
      <c r="E653">
        <v>5</v>
      </c>
      <c r="F653" s="3">
        <v>6295</v>
      </c>
      <c r="G653" t="s">
        <v>39</v>
      </c>
      <c r="H653" t="s">
        <v>19</v>
      </c>
    </row>
    <row r="654" spans="1:8" x14ac:dyDescent="0.25">
      <c r="A654" s="1">
        <v>45415</v>
      </c>
      <c r="B654" t="s">
        <v>13</v>
      </c>
      <c r="C654" t="s">
        <v>30</v>
      </c>
      <c r="D654" t="s">
        <v>15</v>
      </c>
      <c r="E654">
        <v>12</v>
      </c>
      <c r="F654" s="3">
        <v>13464</v>
      </c>
      <c r="G654" t="s">
        <v>39</v>
      </c>
      <c r="H654" t="s">
        <v>43</v>
      </c>
    </row>
    <row r="655" spans="1:8" x14ac:dyDescent="0.25">
      <c r="A655" s="1">
        <v>45933</v>
      </c>
      <c r="B655" t="s">
        <v>33</v>
      </c>
      <c r="C655" t="s">
        <v>38</v>
      </c>
      <c r="D655" t="s">
        <v>22</v>
      </c>
      <c r="E655">
        <v>4</v>
      </c>
      <c r="F655" s="3">
        <v>4576</v>
      </c>
      <c r="G655" t="s">
        <v>11</v>
      </c>
      <c r="H655" t="s">
        <v>43</v>
      </c>
    </row>
    <row r="656" spans="1:8" x14ac:dyDescent="0.25">
      <c r="A656" s="1">
        <v>45929</v>
      </c>
      <c r="B656" t="s">
        <v>24</v>
      </c>
      <c r="C656" t="s">
        <v>21</v>
      </c>
      <c r="D656" t="s">
        <v>22</v>
      </c>
      <c r="E656">
        <v>2</v>
      </c>
      <c r="F656" s="3">
        <v>1494</v>
      </c>
      <c r="G656" t="s">
        <v>16</v>
      </c>
      <c r="H656" t="s">
        <v>28</v>
      </c>
    </row>
    <row r="657" spans="1:8" x14ac:dyDescent="0.25">
      <c r="A657" s="1">
        <v>45682</v>
      </c>
      <c r="B657" t="s">
        <v>29</v>
      </c>
      <c r="C657" t="s">
        <v>14</v>
      </c>
      <c r="D657" t="s">
        <v>15</v>
      </c>
      <c r="E657">
        <v>19</v>
      </c>
      <c r="F657" s="3">
        <v>30628</v>
      </c>
      <c r="G657" t="s">
        <v>31</v>
      </c>
      <c r="H657" t="s">
        <v>43</v>
      </c>
    </row>
    <row r="658" spans="1:8" x14ac:dyDescent="0.25">
      <c r="A658" s="1">
        <v>45984</v>
      </c>
      <c r="B658" t="s">
        <v>8</v>
      </c>
      <c r="C658" t="s">
        <v>44</v>
      </c>
      <c r="D658" t="s">
        <v>45</v>
      </c>
      <c r="E658">
        <v>6</v>
      </c>
      <c r="F658" s="3">
        <v>6510</v>
      </c>
      <c r="G658" t="s">
        <v>16</v>
      </c>
      <c r="H658" t="s">
        <v>28</v>
      </c>
    </row>
    <row r="659" spans="1:8" x14ac:dyDescent="0.25">
      <c r="A659" s="1">
        <v>45161</v>
      </c>
      <c r="B659" t="s">
        <v>46</v>
      </c>
      <c r="C659" t="s">
        <v>21</v>
      </c>
      <c r="D659" t="s">
        <v>22</v>
      </c>
      <c r="E659">
        <v>8</v>
      </c>
      <c r="F659" s="3">
        <v>2936</v>
      </c>
      <c r="G659" t="s">
        <v>27</v>
      </c>
      <c r="H659" t="s">
        <v>12</v>
      </c>
    </row>
    <row r="660" spans="1:8" x14ac:dyDescent="0.25">
      <c r="A660" s="1">
        <v>45957</v>
      </c>
      <c r="B660" t="s">
        <v>33</v>
      </c>
      <c r="C660" t="s">
        <v>21</v>
      </c>
      <c r="D660" t="s">
        <v>22</v>
      </c>
      <c r="E660">
        <v>12</v>
      </c>
      <c r="F660" s="3">
        <v>14328</v>
      </c>
      <c r="G660" t="s">
        <v>27</v>
      </c>
      <c r="H660" t="s">
        <v>17</v>
      </c>
    </row>
    <row r="661" spans="1:8" x14ac:dyDescent="0.25">
      <c r="A661" s="1">
        <v>45529</v>
      </c>
      <c r="B661" t="s">
        <v>46</v>
      </c>
      <c r="C661" t="s">
        <v>9</v>
      </c>
      <c r="D661" t="s">
        <v>10</v>
      </c>
      <c r="E661">
        <v>9</v>
      </c>
      <c r="F661" s="3">
        <v>14814</v>
      </c>
      <c r="G661" t="s">
        <v>16</v>
      </c>
      <c r="H661" t="s">
        <v>34</v>
      </c>
    </row>
    <row r="662" spans="1:8" x14ac:dyDescent="0.25">
      <c r="A662" s="1">
        <v>45825</v>
      </c>
      <c r="B662" t="s">
        <v>18</v>
      </c>
      <c r="C662" t="s">
        <v>44</v>
      </c>
      <c r="D662" t="s">
        <v>45</v>
      </c>
      <c r="E662">
        <v>10</v>
      </c>
      <c r="F662" s="3">
        <v>10290</v>
      </c>
      <c r="G662" t="s">
        <v>39</v>
      </c>
      <c r="H662" t="s">
        <v>32</v>
      </c>
    </row>
    <row r="663" spans="1:8" x14ac:dyDescent="0.25">
      <c r="A663" s="1">
        <v>45099</v>
      </c>
      <c r="B663" t="s">
        <v>18</v>
      </c>
      <c r="C663" t="s">
        <v>38</v>
      </c>
      <c r="D663" t="s">
        <v>22</v>
      </c>
      <c r="E663">
        <v>13</v>
      </c>
      <c r="F663" s="3">
        <v>20592</v>
      </c>
      <c r="G663" t="s">
        <v>27</v>
      </c>
      <c r="H663" t="s">
        <v>19</v>
      </c>
    </row>
    <row r="664" spans="1:8" x14ac:dyDescent="0.25">
      <c r="A664" s="1">
        <v>45734</v>
      </c>
      <c r="B664" t="s">
        <v>48</v>
      </c>
      <c r="C664" t="s">
        <v>25</v>
      </c>
      <c r="D664" t="s">
        <v>26</v>
      </c>
      <c r="E664">
        <v>17</v>
      </c>
      <c r="F664" s="3">
        <v>10540</v>
      </c>
      <c r="G664" t="s">
        <v>39</v>
      </c>
      <c r="H664" t="s">
        <v>12</v>
      </c>
    </row>
    <row r="665" spans="1:8" x14ac:dyDescent="0.25">
      <c r="A665" s="1">
        <v>45220</v>
      </c>
      <c r="B665" t="s">
        <v>33</v>
      </c>
      <c r="C665" t="s">
        <v>44</v>
      </c>
      <c r="D665" t="s">
        <v>45</v>
      </c>
      <c r="E665">
        <v>18</v>
      </c>
      <c r="F665" s="3">
        <v>4734</v>
      </c>
      <c r="G665" t="s">
        <v>16</v>
      </c>
      <c r="H665" t="s">
        <v>32</v>
      </c>
    </row>
    <row r="666" spans="1:8" x14ac:dyDescent="0.25">
      <c r="A666" s="1">
        <v>45559</v>
      </c>
      <c r="B666" t="s">
        <v>24</v>
      </c>
      <c r="C666" t="s">
        <v>41</v>
      </c>
      <c r="D666" t="s">
        <v>26</v>
      </c>
      <c r="E666">
        <v>5</v>
      </c>
      <c r="F666" s="3">
        <v>5420</v>
      </c>
      <c r="G666" t="s">
        <v>16</v>
      </c>
      <c r="H666" t="s">
        <v>43</v>
      </c>
    </row>
    <row r="667" spans="1:8" x14ac:dyDescent="0.25">
      <c r="A667" s="1">
        <v>44935</v>
      </c>
      <c r="B667" t="s">
        <v>29</v>
      </c>
      <c r="C667" t="s">
        <v>25</v>
      </c>
      <c r="D667" t="s">
        <v>26</v>
      </c>
      <c r="E667">
        <v>8</v>
      </c>
      <c r="F667" s="3">
        <v>14688</v>
      </c>
      <c r="G667" t="s">
        <v>11</v>
      </c>
      <c r="H667" t="s">
        <v>43</v>
      </c>
    </row>
    <row r="668" spans="1:8" x14ac:dyDescent="0.25">
      <c r="A668" s="1">
        <v>45537</v>
      </c>
      <c r="B668" t="s">
        <v>24</v>
      </c>
      <c r="C668" t="s">
        <v>35</v>
      </c>
      <c r="D668" t="s">
        <v>36</v>
      </c>
      <c r="E668">
        <v>15</v>
      </c>
      <c r="F668" s="3">
        <v>14625</v>
      </c>
      <c r="G668" t="s">
        <v>16</v>
      </c>
      <c r="H668" t="s">
        <v>43</v>
      </c>
    </row>
    <row r="669" spans="1:8" x14ac:dyDescent="0.25">
      <c r="A669" s="1">
        <v>45165</v>
      </c>
      <c r="B669" t="s">
        <v>46</v>
      </c>
      <c r="C669" t="s">
        <v>14</v>
      </c>
      <c r="D669" t="s">
        <v>15</v>
      </c>
      <c r="E669">
        <v>6</v>
      </c>
      <c r="F669" s="3">
        <v>10524</v>
      </c>
      <c r="G669" t="s">
        <v>39</v>
      </c>
      <c r="H669" t="s">
        <v>28</v>
      </c>
    </row>
    <row r="670" spans="1:8" x14ac:dyDescent="0.25">
      <c r="A670" s="1">
        <v>45367</v>
      </c>
      <c r="B670" t="s">
        <v>48</v>
      </c>
      <c r="C670" t="s">
        <v>35</v>
      </c>
      <c r="D670" t="s">
        <v>36</v>
      </c>
      <c r="E670">
        <v>19</v>
      </c>
      <c r="F670" s="3">
        <v>18601</v>
      </c>
      <c r="G670" t="s">
        <v>27</v>
      </c>
      <c r="H670" t="s">
        <v>17</v>
      </c>
    </row>
    <row r="671" spans="1:8" x14ac:dyDescent="0.25">
      <c r="A671" s="1">
        <v>45864</v>
      </c>
      <c r="B671" t="s">
        <v>20</v>
      </c>
      <c r="C671" t="s">
        <v>9</v>
      </c>
      <c r="D671" t="s">
        <v>10</v>
      </c>
      <c r="E671">
        <v>17</v>
      </c>
      <c r="F671" s="3">
        <v>24497</v>
      </c>
      <c r="G671" t="s">
        <v>16</v>
      </c>
      <c r="H671" t="s">
        <v>43</v>
      </c>
    </row>
    <row r="672" spans="1:8" x14ac:dyDescent="0.25">
      <c r="A672" s="1">
        <v>45705</v>
      </c>
      <c r="B672" t="s">
        <v>47</v>
      </c>
      <c r="C672" t="s">
        <v>25</v>
      </c>
      <c r="D672" t="s">
        <v>26</v>
      </c>
      <c r="E672">
        <v>3</v>
      </c>
      <c r="F672" s="3">
        <v>939</v>
      </c>
      <c r="G672" t="s">
        <v>31</v>
      </c>
      <c r="H672" t="s">
        <v>34</v>
      </c>
    </row>
    <row r="673" spans="1:8" x14ac:dyDescent="0.25">
      <c r="A673" s="1">
        <v>45523</v>
      </c>
      <c r="B673" t="s">
        <v>46</v>
      </c>
      <c r="C673" t="s">
        <v>14</v>
      </c>
      <c r="D673" t="s">
        <v>15</v>
      </c>
      <c r="E673">
        <v>20</v>
      </c>
      <c r="F673" s="3">
        <v>11040</v>
      </c>
      <c r="G673" t="s">
        <v>16</v>
      </c>
      <c r="H673" t="s">
        <v>23</v>
      </c>
    </row>
    <row r="674" spans="1:8" x14ac:dyDescent="0.25">
      <c r="A674" s="1">
        <v>44960</v>
      </c>
      <c r="B674" t="s">
        <v>47</v>
      </c>
      <c r="C674" t="s">
        <v>14</v>
      </c>
      <c r="D674" t="s">
        <v>15</v>
      </c>
      <c r="E674">
        <v>6</v>
      </c>
      <c r="F674" s="3">
        <v>9582</v>
      </c>
      <c r="G674" t="s">
        <v>27</v>
      </c>
      <c r="H674" t="s">
        <v>17</v>
      </c>
    </row>
    <row r="675" spans="1:8" x14ac:dyDescent="0.25">
      <c r="A675" s="1">
        <v>45595</v>
      </c>
      <c r="B675" t="s">
        <v>33</v>
      </c>
      <c r="C675" t="s">
        <v>14</v>
      </c>
      <c r="D675" t="s">
        <v>15</v>
      </c>
      <c r="E675">
        <v>18</v>
      </c>
      <c r="F675" s="3">
        <v>28386</v>
      </c>
      <c r="G675" t="s">
        <v>27</v>
      </c>
      <c r="H675" t="s">
        <v>43</v>
      </c>
    </row>
    <row r="676" spans="1:8" x14ac:dyDescent="0.25">
      <c r="A676" s="1">
        <v>45450</v>
      </c>
      <c r="B676" t="s">
        <v>18</v>
      </c>
      <c r="C676" t="s">
        <v>41</v>
      </c>
      <c r="D676" t="s">
        <v>26</v>
      </c>
      <c r="E676">
        <v>3</v>
      </c>
      <c r="F676" s="3">
        <v>2487</v>
      </c>
      <c r="G676" t="s">
        <v>11</v>
      </c>
      <c r="H676" t="s">
        <v>34</v>
      </c>
    </row>
    <row r="677" spans="1:8" x14ac:dyDescent="0.25">
      <c r="A677" s="1">
        <v>45315</v>
      </c>
      <c r="B677" t="s">
        <v>29</v>
      </c>
      <c r="C677" t="s">
        <v>30</v>
      </c>
      <c r="D677" t="s">
        <v>15</v>
      </c>
      <c r="E677">
        <v>15</v>
      </c>
      <c r="F677" s="3">
        <v>26895</v>
      </c>
      <c r="G677" t="s">
        <v>27</v>
      </c>
      <c r="H677" t="s">
        <v>32</v>
      </c>
    </row>
    <row r="678" spans="1:8" x14ac:dyDescent="0.25">
      <c r="A678" s="1">
        <v>45799</v>
      </c>
      <c r="B678" t="s">
        <v>13</v>
      </c>
      <c r="C678" t="s">
        <v>14</v>
      </c>
      <c r="D678" t="s">
        <v>15</v>
      </c>
      <c r="E678">
        <v>17</v>
      </c>
      <c r="F678" s="3">
        <v>9622</v>
      </c>
      <c r="G678" t="s">
        <v>31</v>
      </c>
      <c r="H678" t="s">
        <v>17</v>
      </c>
    </row>
    <row r="679" spans="1:8" x14ac:dyDescent="0.25">
      <c r="A679" s="1">
        <v>45564</v>
      </c>
      <c r="B679" t="s">
        <v>24</v>
      </c>
      <c r="C679" t="s">
        <v>44</v>
      </c>
      <c r="D679" t="s">
        <v>45</v>
      </c>
      <c r="E679">
        <v>13</v>
      </c>
      <c r="F679" s="3">
        <v>20319</v>
      </c>
      <c r="G679" t="s">
        <v>27</v>
      </c>
      <c r="H679" t="s">
        <v>23</v>
      </c>
    </row>
    <row r="680" spans="1:8" x14ac:dyDescent="0.25">
      <c r="A680" s="1">
        <v>45097</v>
      </c>
      <c r="B680" t="s">
        <v>18</v>
      </c>
      <c r="C680" t="s">
        <v>41</v>
      </c>
      <c r="D680" t="s">
        <v>26</v>
      </c>
      <c r="E680">
        <v>18</v>
      </c>
      <c r="F680" s="3">
        <v>25722</v>
      </c>
      <c r="G680" t="s">
        <v>31</v>
      </c>
      <c r="H680" t="s">
        <v>28</v>
      </c>
    </row>
    <row r="681" spans="1:8" x14ac:dyDescent="0.25">
      <c r="A681" s="1">
        <v>45318</v>
      </c>
      <c r="B681" t="s">
        <v>29</v>
      </c>
      <c r="C681" t="s">
        <v>21</v>
      </c>
      <c r="D681" t="s">
        <v>22</v>
      </c>
      <c r="E681">
        <v>2</v>
      </c>
      <c r="F681" s="3">
        <v>2612</v>
      </c>
      <c r="G681" t="s">
        <v>27</v>
      </c>
      <c r="H681" t="s">
        <v>43</v>
      </c>
    </row>
    <row r="682" spans="1:8" x14ac:dyDescent="0.25">
      <c r="A682" s="1">
        <v>45312</v>
      </c>
      <c r="B682" t="s">
        <v>29</v>
      </c>
      <c r="C682" t="s">
        <v>44</v>
      </c>
      <c r="D682" t="s">
        <v>45</v>
      </c>
      <c r="E682">
        <v>5</v>
      </c>
      <c r="F682" s="3">
        <v>8400</v>
      </c>
      <c r="G682" t="s">
        <v>31</v>
      </c>
      <c r="H682" t="s">
        <v>23</v>
      </c>
    </row>
    <row r="683" spans="1:8" x14ac:dyDescent="0.25">
      <c r="A683" s="1">
        <v>45797</v>
      </c>
      <c r="B683" t="s">
        <v>13</v>
      </c>
      <c r="C683" t="s">
        <v>35</v>
      </c>
      <c r="D683" t="s">
        <v>36</v>
      </c>
      <c r="E683">
        <v>10</v>
      </c>
      <c r="F683" s="3">
        <v>15050</v>
      </c>
      <c r="G683" t="s">
        <v>11</v>
      </c>
      <c r="H683" t="s">
        <v>12</v>
      </c>
    </row>
    <row r="684" spans="1:8" x14ac:dyDescent="0.25">
      <c r="A684" s="1">
        <v>45820</v>
      </c>
      <c r="B684" t="s">
        <v>18</v>
      </c>
      <c r="C684" t="s">
        <v>35</v>
      </c>
      <c r="D684" t="s">
        <v>36</v>
      </c>
      <c r="E684">
        <v>17</v>
      </c>
      <c r="F684" s="3">
        <v>1411</v>
      </c>
      <c r="G684" t="s">
        <v>11</v>
      </c>
      <c r="H684" t="s">
        <v>12</v>
      </c>
    </row>
    <row r="685" spans="1:8" x14ac:dyDescent="0.25">
      <c r="A685" s="1">
        <v>45085</v>
      </c>
      <c r="B685" t="s">
        <v>18</v>
      </c>
      <c r="C685" t="s">
        <v>25</v>
      </c>
      <c r="D685" t="s">
        <v>26</v>
      </c>
      <c r="E685">
        <v>3</v>
      </c>
      <c r="F685" s="3">
        <v>1188</v>
      </c>
      <c r="G685" t="s">
        <v>31</v>
      </c>
      <c r="H685" t="s">
        <v>23</v>
      </c>
    </row>
    <row r="686" spans="1:8" x14ac:dyDescent="0.25">
      <c r="A686" s="1">
        <v>45740</v>
      </c>
      <c r="B686" t="s">
        <v>48</v>
      </c>
      <c r="C686" t="s">
        <v>21</v>
      </c>
      <c r="D686" t="s">
        <v>22</v>
      </c>
      <c r="E686">
        <v>14</v>
      </c>
      <c r="F686" s="3">
        <v>18634</v>
      </c>
      <c r="G686" t="s">
        <v>39</v>
      </c>
      <c r="H686" t="s">
        <v>28</v>
      </c>
    </row>
    <row r="687" spans="1:8" x14ac:dyDescent="0.25">
      <c r="A687" s="1">
        <v>45723</v>
      </c>
      <c r="B687" t="s">
        <v>48</v>
      </c>
      <c r="C687" t="s">
        <v>30</v>
      </c>
      <c r="D687" t="s">
        <v>15</v>
      </c>
      <c r="E687">
        <v>9</v>
      </c>
      <c r="F687" s="3">
        <v>3339</v>
      </c>
      <c r="G687" t="s">
        <v>27</v>
      </c>
      <c r="H687" t="s">
        <v>19</v>
      </c>
    </row>
    <row r="688" spans="1:8" x14ac:dyDescent="0.25">
      <c r="A688" s="1">
        <v>45190</v>
      </c>
      <c r="B688" t="s">
        <v>24</v>
      </c>
      <c r="C688" t="s">
        <v>30</v>
      </c>
      <c r="D688" t="s">
        <v>15</v>
      </c>
      <c r="E688">
        <v>8</v>
      </c>
      <c r="F688" s="3">
        <v>6112</v>
      </c>
      <c r="G688" t="s">
        <v>31</v>
      </c>
      <c r="H688" t="s">
        <v>23</v>
      </c>
    </row>
    <row r="689" spans="1:8" x14ac:dyDescent="0.25">
      <c r="A689" s="1">
        <v>45508</v>
      </c>
      <c r="B689" t="s">
        <v>46</v>
      </c>
      <c r="C689" t="s">
        <v>37</v>
      </c>
      <c r="D689" t="s">
        <v>15</v>
      </c>
      <c r="E689">
        <v>19</v>
      </c>
      <c r="F689" s="3">
        <v>20102</v>
      </c>
      <c r="G689" t="s">
        <v>31</v>
      </c>
      <c r="H689" t="s">
        <v>17</v>
      </c>
    </row>
    <row r="690" spans="1:8" x14ac:dyDescent="0.25">
      <c r="A690" s="1">
        <v>45166</v>
      </c>
      <c r="B690" t="s">
        <v>46</v>
      </c>
      <c r="C690" t="s">
        <v>30</v>
      </c>
      <c r="D690" t="s">
        <v>15</v>
      </c>
      <c r="E690">
        <v>14</v>
      </c>
      <c r="F690" s="3">
        <v>13342</v>
      </c>
      <c r="G690" t="s">
        <v>39</v>
      </c>
      <c r="H690" t="s">
        <v>12</v>
      </c>
    </row>
    <row r="691" spans="1:8" x14ac:dyDescent="0.25">
      <c r="A691" s="1">
        <v>45829</v>
      </c>
      <c r="B691" t="s">
        <v>18</v>
      </c>
      <c r="C691" t="s">
        <v>25</v>
      </c>
      <c r="D691" t="s">
        <v>26</v>
      </c>
      <c r="E691">
        <v>12</v>
      </c>
      <c r="F691" s="3">
        <v>14772</v>
      </c>
      <c r="G691" t="s">
        <v>31</v>
      </c>
      <c r="H691" t="s">
        <v>19</v>
      </c>
    </row>
    <row r="692" spans="1:8" x14ac:dyDescent="0.25">
      <c r="A692" s="1">
        <v>45018</v>
      </c>
      <c r="B692" t="s">
        <v>40</v>
      </c>
      <c r="C692" t="s">
        <v>37</v>
      </c>
      <c r="D692" t="s">
        <v>15</v>
      </c>
      <c r="E692">
        <v>4</v>
      </c>
      <c r="F692" s="3">
        <v>1736</v>
      </c>
      <c r="G692" t="s">
        <v>11</v>
      </c>
      <c r="H692" t="s">
        <v>23</v>
      </c>
    </row>
    <row r="693" spans="1:8" x14ac:dyDescent="0.25">
      <c r="A693" s="1">
        <v>45694</v>
      </c>
      <c r="B693" t="s">
        <v>47</v>
      </c>
      <c r="C693" t="s">
        <v>37</v>
      </c>
      <c r="D693" t="s">
        <v>15</v>
      </c>
      <c r="E693">
        <v>6</v>
      </c>
      <c r="F693" s="3">
        <v>4452</v>
      </c>
      <c r="G693" t="s">
        <v>27</v>
      </c>
      <c r="H693" t="s">
        <v>23</v>
      </c>
    </row>
    <row r="694" spans="1:8" x14ac:dyDescent="0.25">
      <c r="A694" s="1">
        <v>45127</v>
      </c>
      <c r="B694" t="s">
        <v>20</v>
      </c>
      <c r="C694" t="s">
        <v>35</v>
      </c>
      <c r="D694" t="s">
        <v>36</v>
      </c>
      <c r="E694">
        <v>5</v>
      </c>
      <c r="F694" s="3">
        <v>2325</v>
      </c>
      <c r="G694" t="s">
        <v>27</v>
      </c>
      <c r="H694" t="s">
        <v>17</v>
      </c>
    </row>
    <row r="695" spans="1:8" x14ac:dyDescent="0.25">
      <c r="A695" s="1">
        <v>45605</v>
      </c>
      <c r="B695" t="s">
        <v>8</v>
      </c>
      <c r="C695" t="s">
        <v>35</v>
      </c>
      <c r="D695" t="s">
        <v>36</v>
      </c>
      <c r="E695">
        <v>3</v>
      </c>
      <c r="F695" s="3">
        <v>3789</v>
      </c>
      <c r="G695" t="s">
        <v>31</v>
      </c>
      <c r="H695" t="s">
        <v>12</v>
      </c>
    </row>
    <row r="696" spans="1:8" x14ac:dyDescent="0.25">
      <c r="A696" s="1">
        <v>45688</v>
      </c>
      <c r="B696" t="s">
        <v>29</v>
      </c>
      <c r="C696" t="s">
        <v>38</v>
      </c>
      <c r="D696" t="s">
        <v>22</v>
      </c>
      <c r="E696">
        <v>14</v>
      </c>
      <c r="F696" s="3">
        <v>12684</v>
      </c>
      <c r="G696" t="s">
        <v>11</v>
      </c>
      <c r="H696" t="s">
        <v>12</v>
      </c>
    </row>
    <row r="697" spans="1:8" x14ac:dyDescent="0.25">
      <c r="A697" s="1">
        <v>45871</v>
      </c>
      <c r="B697" t="s">
        <v>46</v>
      </c>
      <c r="C697" t="s">
        <v>41</v>
      </c>
      <c r="D697" t="s">
        <v>26</v>
      </c>
      <c r="E697">
        <v>7</v>
      </c>
      <c r="F697" s="3">
        <v>9954</v>
      </c>
      <c r="G697" t="s">
        <v>16</v>
      </c>
      <c r="H697" t="s">
        <v>28</v>
      </c>
    </row>
    <row r="698" spans="1:8" x14ac:dyDescent="0.25">
      <c r="A698" s="1">
        <v>45064</v>
      </c>
      <c r="B698" t="s">
        <v>13</v>
      </c>
      <c r="C698" t="s">
        <v>30</v>
      </c>
      <c r="D698" t="s">
        <v>15</v>
      </c>
      <c r="E698">
        <v>11</v>
      </c>
      <c r="F698" s="3">
        <v>2134</v>
      </c>
      <c r="G698" t="s">
        <v>27</v>
      </c>
      <c r="H698" t="s">
        <v>23</v>
      </c>
    </row>
    <row r="699" spans="1:8" x14ac:dyDescent="0.25">
      <c r="A699" s="1">
        <v>45458</v>
      </c>
      <c r="B699" t="s">
        <v>18</v>
      </c>
      <c r="C699" t="s">
        <v>9</v>
      </c>
      <c r="D699" t="s">
        <v>10</v>
      </c>
      <c r="E699">
        <v>16</v>
      </c>
      <c r="F699" s="3">
        <v>17920</v>
      </c>
      <c r="G699" t="s">
        <v>39</v>
      </c>
      <c r="H699" t="s">
        <v>17</v>
      </c>
    </row>
    <row r="700" spans="1:8" x14ac:dyDescent="0.25">
      <c r="A700" s="1">
        <v>45559</v>
      </c>
      <c r="B700" t="s">
        <v>24</v>
      </c>
      <c r="C700" t="s">
        <v>38</v>
      </c>
      <c r="D700" t="s">
        <v>22</v>
      </c>
      <c r="E700">
        <v>3</v>
      </c>
      <c r="F700" s="3">
        <v>5541</v>
      </c>
      <c r="G700" t="s">
        <v>11</v>
      </c>
      <c r="H700" t="s">
        <v>19</v>
      </c>
    </row>
    <row r="701" spans="1:8" x14ac:dyDescent="0.25">
      <c r="A701" s="1">
        <v>45207</v>
      </c>
      <c r="B701" t="s">
        <v>33</v>
      </c>
      <c r="C701" t="s">
        <v>37</v>
      </c>
      <c r="D701" t="s">
        <v>15</v>
      </c>
      <c r="E701">
        <v>8</v>
      </c>
      <c r="F701" s="3">
        <v>4504</v>
      </c>
      <c r="G701" t="s">
        <v>16</v>
      </c>
      <c r="H701" t="s">
        <v>28</v>
      </c>
    </row>
    <row r="702" spans="1:8" x14ac:dyDescent="0.25">
      <c r="A702" s="1">
        <v>44970</v>
      </c>
      <c r="B702" t="s">
        <v>47</v>
      </c>
      <c r="C702" t="s">
        <v>14</v>
      </c>
      <c r="D702" t="s">
        <v>15</v>
      </c>
      <c r="E702">
        <v>2</v>
      </c>
      <c r="F702" s="3">
        <v>2878</v>
      </c>
      <c r="G702" t="s">
        <v>11</v>
      </c>
      <c r="H702" t="s">
        <v>23</v>
      </c>
    </row>
    <row r="703" spans="1:8" x14ac:dyDescent="0.25">
      <c r="A703" s="1">
        <v>44944</v>
      </c>
      <c r="B703" t="s">
        <v>29</v>
      </c>
      <c r="C703" t="s">
        <v>38</v>
      </c>
      <c r="D703" t="s">
        <v>22</v>
      </c>
      <c r="E703">
        <v>7</v>
      </c>
      <c r="F703" s="3">
        <v>4417</v>
      </c>
      <c r="G703" t="s">
        <v>27</v>
      </c>
      <c r="H703" t="s">
        <v>34</v>
      </c>
    </row>
    <row r="704" spans="1:8" x14ac:dyDescent="0.25">
      <c r="A704" s="1">
        <v>45593</v>
      </c>
      <c r="B704" t="s">
        <v>33</v>
      </c>
      <c r="C704" t="s">
        <v>25</v>
      </c>
      <c r="D704" t="s">
        <v>26</v>
      </c>
      <c r="E704">
        <v>2</v>
      </c>
      <c r="F704" s="3">
        <v>2586</v>
      </c>
      <c r="G704" t="s">
        <v>11</v>
      </c>
      <c r="H704" t="s">
        <v>34</v>
      </c>
    </row>
    <row r="705" spans="1:8" x14ac:dyDescent="0.25">
      <c r="A705" s="1">
        <v>45104</v>
      </c>
      <c r="B705" t="s">
        <v>18</v>
      </c>
      <c r="C705" t="s">
        <v>21</v>
      </c>
      <c r="D705" t="s">
        <v>22</v>
      </c>
      <c r="E705">
        <v>9</v>
      </c>
      <c r="F705" s="3">
        <v>9468</v>
      </c>
      <c r="G705" t="s">
        <v>39</v>
      </c>
      <c r="H705" t="s">
        <v>43</v>
      </c>
    </row>
    <row r="706" spans="1:8" x14ac:dyDescent="0.25">
      <c r="A706" s="1">
        <v>45411</v>
      </c>
      <c r="B706" t="s">
        <v>40</v>
      </c>
      <c r="C706" t="s">
        <v>38</v>
      </c>
      <c r="D706" t="s">
        <v>22</v>
      </c>
      <c r="E706">
        <v>15</v>
      </c>
      <c r="F706" s="3">
        <v>10680</v>
      </c>
      <c r="G706" t="s">
        <v>39</v>
      </c>
      <c r="H706" t="s">
        <v>43</v>
      </c>
    </row>
    <row r="707" spans="1:8" x14ac:dyDescent="0.25">
      <c r="A707" s="1">
        <v>45727</v>
      </c>
      <c r="B707" t="s">
        <v>48</v>
      </c>
      <c r="C707" t="s">
        <v>37</v>
      </c>
      <c r="D707" t="s">
        <v>15</v>
      </c>
      <c r="E707">
        <v>18</v>
      </c>
      <c r="F707" s="3">
        <v>31950</v>
      </c>
      <c r="G707" t="s">
        <v>39</v>
      </c>
      <c r="H707" t="s">
        <v>28</v>
      </c>
    </row>
    <row r="708" spans="1:8" x14ac:dyDescent="0.25">
      <c r="A708" s="1">
        <v>45448</v>
      </c>
      <c r="B708" t="s">
        <v>18</v>
      </c>
      <c r="C708" t="s">
        <v>38</v>
      </c>
      <c r="D708" t="s">
        <v>22</v>
      </c>
      <c r="E708">
        <v>14</v>
      </c>
      <c r="F708" s="3">
        <v>12292</v>
      </c>
      <c r="G708" t="s">
        <v>11</v>
      </c>
      <c r="H708" t="s">
        <v>19</v>
      </c>
    </row>
    <row r="709" spans="1:8" x14ac:dyDescent="0.25">
      <c r="A709" s="1">
        <v>45690</v>
      </c>
      <c r="B709" t="s">
        <v>47</v>
      </c>
      <c r="C709" t="s">
        <v>41</v>
      </c>
      <c r="D709" t="s">
        <v>26</v>
      </c>
      <c r="E709">
        <v>4</v>
      </c>
      <c r="F709" s="3">
        <v>4924</v>
      </c>
      <c r="G709" t="s">
        <v>16</v>
      </c>
      <c r="H709" t="s">
        <v>28</v>
      </c>
    </row>
    <row r="710" spans="1:8" x14ac:dyDescent="0.25">
      <c r="A710" s="1">
        <v>45130</v>
      </c>
      <c r="B710" t="s">
        <v>20</v>
      </c>
      <c r="C710" t="s">
        <v>30</v>
      </c>
      <c r="D710" t="s">
        <v>15</v>
      </c>
      <c r="E710">
        <v>15</v>
      </c>
      <c r="F710" s="3">
        <v>25335</v>
      </c>
      <c r="G710" t="s">
        <v>27</v>
      </c>
      <c r="H710" t="s">
        <v>34</v>
      </c>
    </row>
    <row r="711" spans="1:8" x14ac:dyDescent="0.25">
      <c r="A711" s="1">
        <v>45804</v>
      </c>
      <c r="B711" t="s">
        <v>13</v>
      </c>
      <c r="C711" t="s">
        <v>37</v>
      </c>
      <c r="D711" t="s">
        <v>15</v>
      </c>
      <c r="E711">
        <v>9</v>
      </c>
      <c r="F711" s="3">
        <v>16002</v>
      </c>
      <c r="G711" t="s">
        <v>39</v>
      </c>
      <c r="H711" t="s">
        <v>34</v>
      </c>
    </row>
    <row r="712" spans="1:8" x14ac:dyDescent="0.25">
      <c r="A712" s="1">
        <v>45316</v>
      </c>
      <c r="B712" t="s">
        <v>29</v>
      </c>
      <c r="C712" t="s">
        <v>9</v>
      </c>
      <c r="D712" t="s">
        <v>10</v>
      </c>
      <c r="E712">
        <v>13</v>
      </c>
      <c r="F712" s="3">
        <v>14118</v>
      </c>
      <c r="G712" t="s">
        <v>16</v>
      </c>
      <c r="H712" t="s">
        <v>32</v>
      </c>
    </row>
    <row r="713" spans="1:8" x14ac:dyDescent="0.25">
      <c r="A713" s="1">
        <v>45562</v>
      </c>
      <c r="B713" t="s">
        <v>24</v>
      </c>
      <c r="C713" t="s">
        <v>21</v>
      </c>
      <c r="D713" t="s">
        <v>22</v>
      </c>
      <c r="E713">
        <v>6</v>
      </c>
      <c r="F713" s="3">
        <v>6072</v>
      </c>
      <c r="G713" t="s">
        <v>31</v>
      </c>
      <c r="H713" t="s">
        <v>28</v>
      </c>
    </row>
    <row r="714" spans="1:8" x14ac:dyDescent="0.25">
      <c r="A714" s="1">
        <v>45085</v>
      </c>
      <c r="B714" t="s">
        <v>18</v>
      </c>
      <c r="C714" t="s">
        <v>37</v>
      </c>
      <c r="D714" t="s">
        <v>15</v>
      </c>
      <c r="E714">
        <v>4</v>
      </c>
      <c r="F714" s="3">
        <v>3592</v>
      </c>
      <c r="G714" t="s">
        <v>39</v>
      </c>
      <c r="H714" t="s">
        <v>34</v>
      </c>
    </row>
    <row r="715" spans="1:8" x14ac:dyDescent="0.25">
      <c r="A715" s="1">
        <v>45491</v>
      </c>
      <c r="B715" t="s">
        <v>20</v>
      </c>
      <c r="C715" t="s">
        <v>44</v>
      </c>
      <c r="D715" t="s">
        <v>45</v>
      </c>
      <c r="E715">
        <v>6</v>
      </c>
      <c r="F715" s="3">
        <v>2766</v>
      </c>
      <c r="G715" t="s">
        <v>11</v>
      </c>
      <c r="H715" t="s">
        <v>23</v>
      </c>
    </row>
    <row r="716" spans="1:8" x14ac:dyDescent="0.25">
      <c r="A716" s="1">
        <v>45665</v>
      </c>
      <c r="B716" t="s">
        <v>29</v>
      </c>
      <c r="C716" t="s">
        <v>21</v>
      </c>
      <c r="D716" t="s">
        <v>22</v>
      </c>
      <c r="E716">
        <v>11</v>
      </c>
      <c r="F716" s="3">
        <v>17897</v>
      </c>
      <c r="G716" t="s">
        <v>31</v>
      </c>
      <c r="H716" t="s">
        <v>43</v>
      </c>
    </row>
    <row r="717" spans="1:8" x14ac:dyDescent="0.25">
      <c r="A717" s="1">
        <v>44991</v>
      </c>
      <c r="B717" t="s">
        <v>48</v>
      </c>
      <c r="C717" t="s">
        <v>35</v>
      </c>
      <c r="D717" t="s">
        <v>36</v>
      </c>
      <c r="E717">
        <v>6</v>
      </c>
      <c r="F717" s="3">
        <v>11934</v>
      </c>
      <c r="G717" t="s">
        <v>27</v>
      </c>
      <c r="H717" t="s">
        <v>34</v>
      </c>
    </row>
    <row r="718" spans="1:8" x14ac:dyDescent="0.25">
      <c r="A718" s="1">
        <v>45736</v>
      </c>
      <c r="B718" t="s">
        <v>48</v>
      </c>
      <c r="C718" t="s">
        <v>41</v>
      </c>
      <c r="D718" t="s">
        <v>26</v>
      </c>
      <c r="E718">
        <v>4</v>
      </c>
      <c r="F718" s="3">
        <v>3432</v>
      </c>
      <c r="G718" t="s">
        <v>31</v>
      </c>
      <c r="H718" t="s">
        <v>19</v>
      </c>
    </row>
    <row r="719" spans="1:8" x14ac:dyDescent="0.25">
      <c r="A719" s="1">
        <v>44961</v>
      </c>
      <c r="B719" t="s">
        <v>47</v>
      </c>
      <c r="C719" t="s">
        <v>44</v>
      </c>
      <c r="D719" t="s">
        <v>45</v>
      </c>
      <c r="E719">
        <v>10</v>
      </c>
      <c r="F719" s="3">
        <v>12470</v>
      </c>
      <c r="G719" t="s">
        <v>11</v>
      </c>
      <c r="H719" t="s">
        <v>12</v>
      </c>
    </row>
    <row r="720" spans="1:8" x14ac:dyDescent="0.25">
      <c r="A720" s="1">
        <v>45313</v>
      </c>
      <c r="B720" t="s">
        <v>29</v>
      </c>
      <c r="C720" t="s">
        <v>38</v>
      </c>
      <c r="D720" t="s">
        <v>22</v>
      </c>
      <c r="E720">
        <v>20</v>
      </c>
      <c r="F720" s="3">
        <v>19580</v>
      </c>
      <c r="G720" t="s">
        <v>39</v>
      </c>
      <c r="H720" t="s">
        <v>32</v>
      </c>
    </row>
    <row r="721" spans="1:8" x14ac:dyDescent="0.25">
      <c r="A721" s="1">
        <v>45492</v>
      </c>
      <c r="B721" t="s">
        <v>20</v>
      </c>
      <c r="C721" t="s">
        <v>38</v>
      </c>
      <c r="D721" t="s">
        <v>22</v>
      </c>
      <c r="E721">
        <v>2</v>
      </c>
      <c r="F721" s="3">
        <v>1122</v>
      </c>
      <c r="G721" t="s">
        <v>16</v>
      </c>
      <c r="H721" t="s">
        <v>17</v>
      </c>
    </row>
    <row r="722" spans="1:8" x14ac:dyDescent="0.25">
      <c r="A722" s="1">
        <v>45662</v>
      </c>
      <c r="B722" t="s">
        <v>29</v>
      </c>
      <c r="C722" t="s">
        <v>35</v>
      </c>
      <c r="D722" t="s">
        <v>36</v>
      </c>
      <c r="E722">
        <v>12</v>
      </c>
      <c r="F722" s="3">
        <v>6672</v>
      </c>
      <c r="G722" t="s">
        <v>16</v>
      </c>
      <c r="H722" t="s">
        <v>32</v>
      </c>
    </row>
    <row r="723" spans="1:8" x14ac:dyDescent="0.25">
      <c r="A723" s="1">
        <v>45793</v>
      </c>
      <c r="B723" t="s">
        <v>13</v>
      </c>
      <c r="C723" t="s">
        <v>44</v>
      </c>
      <c r="D723" t="s">
        <v>45</v>
      </c>
      <c r="E723">
        <v>11</v>
      </c>
      <c r="F723" s="3">
        <v>8107</v>
      </c>
      <c r="G723" t="s">
        <v>11</v>
      </c>
      <c r="H723" t="s">
        <v>23</v>
      </c>
    </row>
    <row r="724" spans="1:8" x14ac:dyDescent="0.25">
      <c r="A724" s="1">
        <v>45771</v>
      </c>
      <c r="B724" t="s">
        <v>40</v>
      </c>
      <c r="C724" t="s">
        <v>38</v>
      </c>
      <c r="D724" t="s">
        <v>22</v>
      </c>
      <c r="E724">
        <v>10</v>
      </c>
      <c r="F724" s="3">
        <v>19160</v>
      </c>
      <c r="G724" t="s">
        <v>39</v>
      </c>
      <c r="H724" t="s">
        <v>12</v>
      </c>
    </row>
    <row r="725" spans="1:8" x14ac:dyDescent="0.25">
      <c r="A725" s="1">
        <v>45728</v>
      </c>
      <c r="B725" t="s">
        <v>48</v>
      </c>
      <c r="C725" t="s">
        <v>9</v>
      </c>
      <c r="D725" t="s">
        <v>10</v>
      </c>
      <c r="E725">
        <v>14</v>
      </c>
      <c r="F725" s="3">
        <v>4270</v>
      </c>
      <c r="G725" t="s">
        <v>39</v>
      </c>
      <c r="H725" t="s">
        <v>32</v>
      </c>
    </row>
    <row r="726" spans="1:8" x14ac:dyDescent="0.25">
      <c r="A726" s="1">
        <v>45014</v>
      </c>
      <c r="B726" t="s">
        <v>48</v>
      </c>
      <c r="C726" t="s">
        <v>41</v>
      </c>
      <c r="D726" t="s">
        <v>26</v>
      </c>
      <c r="E726">
        <v>13</v>
      </c>
      <c r="F726" s="3">
        <v>1365</v>
      </c>
      <c r="G726" t="s">
        <v>16</v>
      </c>
      <c r="H726" t="s">
        <v>34</v>
      </c>
    </row>
    <row r="727" spans="1:8" x14ac:dyDescent="0.25">
      <c r="A727" s="1">
        <v>45423</v>
      </c>
      <c r="B727" t="s">
        <v>13</v>
      </c>
      <c r="C727" t="s">
        <v>35</v>
      </c>
      <c r="D727" t="s">
        <v>36</v>
      </c>
      <c r="E727">
        <v>12</v>
      </c>
      <c r="F727" s="3">
        <v>2328</v>
      </c>
      <c r="G727" t="s">
        <v>31</v>
      </c>
      <c r="H727" t="s">
        <v>43</v>
      </c>
    </row>
    <row r="728" spans="1:8" x14ac:dyDescent="0.25">
      <c r="A728" s="1">
        <v>45018</v>
      </c>
      <c r="B728" t="s">
        <v>40</v>
      </c>
      <c r="C728" t="s">
        <v>14</v>
      </c>
      <c r="D728" t="s">
        <v>15</v>
      </c>
      <c r="E728">
        <v>4</v>
      </c>
      <c r="F728" s="3">
        <v>5348</v>
      </c>
      <c r="G728" t="s">
        <v>16</v>
      </c>
      <c r="H728" t="s">
        <v>23</v>
      </c>
    </row>
    <row r="729" spans="1:8" x14ac:dyDescent="0.25">
      <c r="A729" s="1">
        <v>45100</v>
      </c>
      <c r="B729" t="s">
        <v>18</v>
      </c>
      <c r="C729" t="s">
        <v>41</v>
      </c>
      <c r="D729" t="s">
        <v>26</v>
      </c>
      <c r="E729">
        <v>15</v>
      </c>
      <c r="F729" s="3">
        <v>24855</v>
      </c>
      <c r="G729" t="s">
        <v>39</v>
      </c>
      <c r="H729" t="s">
        <v>43</v>
      </c>
    </row>
    <row r="730" spans="1:8" x14ac:dyDescent="0.25">
      <c r="A730" s="1">
        <v>46008</v>
      </c>
      <c r="B730" t="s">
        <v>42</v>
      </c>
      <c r="C730" t="s">
        <v>21</v>
      </c>
      <c r="D730" t="s">
        <v>22</v>
      </c>
      <c r="E730">
        <v>10</v>
      </c>
      <c r="F730" s="3">
        <v>11310</v>
      </c>
      <c r="G730" t="s">
        <v>31</v>
      </c>
      <c r="H730" t="s">
        <v>28</v>
      </c>
    </row>
    <row r="731" spans="1:8" x14ac:dyDescent="0.25">
      <c r="A731" s="1">
        <v>45045</v>
      </c>
      <c r="B731" t="s">
        <v>40</v>
      </c>
      <c r="C731" t="s">
        <v>37</v>
      </c>
      <c r="D731" t="s">
        <v>15</v>
      </c>
      <c r="E731">
        <v>6</v>
      </c>
      <c r="F731" s="3">
        <v>4512</v>
      </c>
      <c r="G731" t="s">
        <v>31</v>
      </c>
      <c r="H731" t="s">
        <v>32</v>
      </c>
    </row>
    <row r="732" spans="1:8" x14ac:dyDescent="0.25">
      <c r="A732" s="1">
        <v>45942</v>
      </c>
      <c r="B732" t="s">
        <v>33</v>
      </c>
      <c r="C732" t="s">
        <v>21</v>
      </c>
      <c r="D732" t="s">
        <v>22</v>
      </c>
      <c r="E732">
        <v>1</v>
      </c>
      <c r="F732" s="3">
        <v>652</v>
      </c>
      <c r="G732" t="s">
        <v>11</v>
      </c>
      <c r="H732" t="s">
        <v>12</v>
      </c>
    </row>
    <row r="733" spans="1:8" x14ac:dyDescent="0.25">
      <c r="A733" s="1">
        <v>45558</v>
      </c>
      <c r="B733" t="s">
        <v>24</v>
      </c>
      <c r="C733" t="s">
        <v>44</v>
      </c>
      <c r="D733" t="s">
        <v>45</v>
      </c>
      <c r="E733">
        <v>17</v>
      </c>
      <c r="F733" s="3">
        <v>32980</v>
      </c>
      <c r="G733" t="s">
        <v>11</v>
      </c>
      <c r="H733" t="s">
        <v>12</v>
      </c>
    </row>
    <row r="734" spans="1:8" x14ac:dyDescent="0.25">
      <c r="A734" s="1">
        <v>44930</v>
      </c>
      <c r="B734" t="s">
        <v>29</v>
      </c>
      <c r="C734" t="s">
        <v>9</v>
      </c>
      <c r="D734" t="s">
        <v>10</v>
      </c>
      <c r="E734">
        <v>12</v>
      </c>
      <c r="F734" s="3">
        <v>13692</v>
      </c>
      <c r="G734" t="s">
        <v>39</v>
      </c>
      <c r="H734" t="s">
        <v>43</v>
      </c>
    </row>
    <row r="735" spans="1:8" x14ac:dyDescent="0.25">
      <c r="A735" s="1">
        <v>45638</v>
      </c>
      <c r="B735" t="s">
        <v>42</v>
      </c>
      <c r="C735" t="s">
        <v>14</v>
      </c>
      <c r="D735" t="s">
        <v>15</v>
      </c>
      <c r="E735">
        <v>8</v>
      </c>
      <c r="F735" s="3">
        <v>12440</v>
      </c>
      <c r="G735" t="s">
        <v>31</v>
      </c>
      <c r="H735" t="s">
        <v>28</v>
      </c>
    </row>
    <row r="736" spans="1:8" x14ac:dyDescent="0.25">
      <c r="A736" s="1">
        <v>45349</v>
      </c>
      <c r="B736" t="s">
        <v>47</v>
      </c>
      <c r="C736" t="s">
        <v>25</v>
      </c>
      <c r="D736" t="s">
        <v>26</v>
      </c>
      <c r="E736">
        <v>4</v>
      </c>
      <c r="F736" s="3">
        <v>4452</v>
      </c>
      <c r="G736" t="s">
        <v>11</v>
      </c>
      <c r="H736" t="s">
        <v>12</v>
      </c>
    </row>
    <row r="737" spans="1:8" x14ac:dyDescent="0.25">
      <c r="A737" s="1">
        <v>45304</v>
      </c>
      <c r="B737" t="s">
        <v>29</v>
      </c>
      <c r="C737" t="s">
        <v>44</v>
      </c>
      <c r="D737" t="s">
        <v>45</v>
      </c>
      <c r="E737">
        <v>1</v>
      </c>
      <c r="F737" s="3">
        <v>1110</v>
      </c>
      <c r="G737" t="s">
        <v>39</v>
      </c>
      <c r="H737" t="s">
        <v>43</v>
      </c>
    </row>
    <row r="738" spans="1:8" x14ac:dyDescent="0.25">
      <c r="A738" s="1">
        <v>45808</v>
      </c>
      <c r="B738" t="s">
        <v>13</v>
      </c>
      <c r="C738" t="s">
        <v>25</v>
      </c>
      <c r="D738" t="s">
        <v>26</v>
      </c>
      <c r="E738">
        <v>1</v>
      </c>
      <c r="F738" s="3">
        <v>1424</v>
      </c>
      <c r="G738" t="s">
        <v>16</v>
      </c>
      <c r="H738" t="s">
        <v>12</v>
      </c>
    </row>
    <row r="739" spans="1:8" x14ac:dyDescent="0.25">
      <c r="A739" s="1">
        <v>45436</v>
      </c>
      <c r="B739" t="s">
        <v>13</v>
      </c>
      <c r="C739" t="s">
        <v>41</v>
      </c>
      <c r="D739" t="s">
        <v>26</v>
      </c>
      <c r="E739">
        <v>2</v>
      </c>
      <c r="F739" s="3">
        <v>542</v>
      </c>
      <c r="G739" t="s">
        <v>39</v>
      </c>
      <c r="H739" t="s">
        <v>23</v>
      </c>
    </row>
    <row r="740" spans="1:8" x14ac:dyDescent="0.25">
      <c r="A740" s="1">
        <v>45196</v>
      </c>
      <c r="B740" t="s">
        <v>24</v>
      </c>
      <c r="C740" t="s">
        <v>41</v>
      </c>
      <c r="D740" t="s">
        <v>26</v>
      </c>
      <c r="E740">
        <v>3</v>
      </c>
      <c r="F740" s="3">
        <v>3258</v>
      </c>
      <c r="G740" t="s">
        <v>16</v>
      </c>
      <c r="H740" t="s">
        <v>12</v>
      </c>
    </row>
    <row r="741" spans="1:8" x14ac:dyDescent="0.25">
      <c r="A741" s="1">
        <v>44937</v>
      </c>
      <c r="B741" t="s">
        <v>29</v>
      </c>
      <c r="C741" t="s">
        <v>30</v>
      </c>
      <c r="D741" t="s">
        <v>15</v>
      </c>
      <c r="E741">
        <v>14</v>
      </c>
      <c r="F741" s="3">
        <v>10234</v>
      </c>
      <c r="G741" t="s">
        <v>11</v>
      </c>
      <c r="H741" t="s">
        <v>28</v>
      </c>
    </row>
    <row r="742" spans="1:8" x14ac:dyDescent="0.25">
      <c r="A742" s="1">
        <v>45192</v>
      </c>
      <c r="B742" t="s">
        <v>24</v>
      </c>
      <c r="C742" t="s">
        <v>44</v>
      </c>
      <c r="D742" t="s">
        <v>45</v>
      </c>
      <c r="E742">
        <v>13</v>
      </c>
      <c r="F742" s="3">
        <v>22113</v>
      </c>
      <c r="G742" t="s">
        <v>11</v>
      </c>
      <c r="H742" t="s">
        <v>19</v>
      </c>
    </row>
    <row r="743" spans="1:8" x14ac:dyDescent="0.25">
      <c r="A743" s="1">
        <v>45180</v>
      </c>
      <c r="B743" t="s">
        <v>24</v>
      </c>
      <c r="C743" t="s">
        <v>21</v>
      </c>
      <c r="D743" t="s">
        <v>22</v>
      </c>
      <c r="E743">
        <v>20</v>
      </c>
      <c r="F743" s="3">
        <v>37840</v>
      </c>
      <c r="G743" t="s">
        <v>31</v>
      </c>
      <c r="H743" t="s">
        <v>34</v>
      </c>
    </row>
    <row r="744" spans="1:8" x14ac:dyDescent="0.25">
      <c r="A744" s="1">
        <v>45141</v>
      </c>
      <c r="B744" t="s">
        <v>46</v>
      </c>
      <c r="C744" t="s">
        <v>38</v>
      </c>
      <c r="D744" t="s">
        <v>22</v>
      </c>
      <c r="E744">
        <v>19</v>
      </c>
      <c r="F744" s="3">
        <v>9557</v>
      </c>
      <c r="G744" t="s">
        <v>39</v>
      </c>
      <c r="H744" t="s">
        <v>19</v>
      </c>
    </row>
    <row r="745" spans="1:8" x14ac:dyDescent="0.25">
      <c r="A745" s="1">
        <v>45366</v>
      </c>
      <c r="B745" t="s">
        <v>48</v>
      </c>
      <c r="C745" t="s">
        <v>35</v>
      </c>
      <c r="D745" t="s">
        <v>36</v>
      </c>
      <c r="E745">
        <v>13</v>
      </c>
      <c r="F745" s="3">
        <v>24193</v>
      </c>
      <c r="G745" t="s">
        <v>39</v>
      </c>
      <c r="H745" t="s">
        <v>43</v>
      </c>
    </row>
    <row r="746" spans="1:8" x14ac:dyDescent="0.25">
      <c r="A746" s="1">
        <v>45720</v>
      </c>
      <c r="B746" t="s">
        <v>48</v>
      </c>
      <c r="C746" t="s">
        <v>44</v>
      </c>
      <c r="D746" t="s">
        <v>45</v>
      </c>
      <c r="E746">
        <v>3</v>
      </c>
      <c r="F746" s="3">
        <v>2172</v>
      </c>
      <c r="G746" t="s">
        <v>31</v>
      </c>
      <c r="H746" t="s">
        <v>23</v>
      </c>
    </row>
    <row r="747" spans="1:8" x14ac:dyDescent="0.25">
      <c r="A747" s="1">
        <v>45851</v>
      </c>
      <c r="B747" t="s">
        <v>20</v>
      </c>
      <c r="C747" t="s">
        <v>41</v>
      </c>
      <c r="D747" t="s">
        <v>26</v>
      </c>
      <c r="E747">
        <v>1</v>
      </c>
      <c r="F747" s="3">
        <v>1919</v>
      </c>
      <c r="G747" t="s">
        <v>27</v>
      </c>
      <c r="H747" t="s">
        <v>12</v>
      </c>
    </row>
    <row r="748" spans="1:8" x14ac:dyDescent="0.25">
      <c r="A748" s="1">
        <v>45033</v>
      </c>
      <c r="B748" t="s">
        <v>40</v>
      </c>
      <c r="C748" t="s">
        <v>44</v>
      </c>
      <c r="D748" t="s">
        <v>45</v>
      </c>
      <c r="E748">
        <v>14</v>
      </c>
      <c r="F748" s="3">
        <v>11466</v>
      </c>
      <c r="G748" t="s">
        <v>27</v>
      </c>
      <c r="H748" t="s">
        <v>34</v>
      </c>
    </row>
    <row r="749" spans="1:8" x14ac:dyDescent="0.25">
      <c r="A749" s="1">
        <v>45278</v>
      </c>
      <c r="B749" t="s">
        <v>42</v>
      </c>
      <c r="C749" t="s">
        <v>25</v>
      </c>
      <c r="D749" t="s">
        <v>26</v>
      </c>
      <c r="E749">
        <v>12</v>
      </c>
      <c r="F749" s="3">
        <v>3912</v>
      </c>
      <c r="G749" t="s">
        <v>27</v>
      </c>
      <c r="H749" t="s">
        <v>34</v>
      </c>
    </row>
    <row r="750" spans="1:8" x14ac:dyDescent="0.25">
      <c r="A750" s="1">
        <v>45664</v>
      </c>
      <c r="B750" t="s">
        <v>29</v>
      </c>
      <c r="C750" t="s">
        <v>35</v>
      </c>
      <c r="D750" t="s">
        <v>36</v>
      </c>
      <c r="E750">
        <v>4</v>
      </c>
      <c r="F750" s="3">
        <v>6104</v>
      </c>
      <c r="G750" t="s">
        <v>39</v>
      </c>
      <c r="H750" t="s">
        <v>43</v>
      </c>
    </row>
    <row r="751" spans="1:8" x14ac:dyDescent="0.25">
      <c r="A751" s="1">
        <v>45426</v>
      </c>
      <c r="B751" t="s">
        <v>13</v>
      </c>
      <c r="C751" t="s">
        <v>38</v>
      </c>
      <c r="D751" t="s">
        <v>22</v>
      </c>
      <c r="E751">
        <v>6</v>
      </c>
      <c r="F751" s="3">
        <v>9216</v>
      </c>
      <c r="G751" t="s">
        <v>31</v>
      </c>
      <c r="H751" t="s">
        <v>19</v>
      </c>
    </row>
    <row r="752" spans="1:8" x14ac:dyDescent="0.25">
      <c r="A752" s="1">
        <v>45520</v>
      </c>
      <c r="B752" t="s">
        <v>46</v>
      </c>
      <c r="C752" t="s">
        <v>44</v>
      </c>
      <c r="D752" t="s">
        <v>45</v>
      </c>
      <c r="E752">
        <v>17</v>
      </c>
      <c r="F752" s="3">
        <v>31926</v>
      </c>
      <c r="G752" t="s">
        <v>31</v>
      </c>
      <c r="H752" t="s">
        <v>28</v>
      </c>
    </row>
    <row r="753" spans="1:8" x14ac:dyDescent="0.25">
      <c r="A753" s="1">
        <v>45291</v>
      </c>
      <c r="B753" t="s">
        <v>42</v>
      </c>
      <c r="C753" t="s">
        <v>38</v>
      </c>
      <c r="D753" t="s">
        <v>22</v>
      </c>
      <c r="E753">
        <v>3</v>
      </c>
      <c r="F753" s="3">
        <v>3258</v>
      </c>
      <c r="G753" t="s">
        <v>39</v>
      </c>
      <c r="H753" t="s">
        <v>19</v>
      </c>
    </row>
    <row r="754" spans="1:8" x14ac:dyDescent="0.25">
      <c r="A754" s="1">
        <v>46019</v>
      </c>
      <c r="B754" t="s">
        <v>42</v>
      </c>
      <c r="C754" t="s">
        <v>25</v>
      </c>
      <c r="D754" t="s">
        <v>26</v>
      </c>
      <c r="E754">
        <v>13</v>
      </c>
      <c r="F754" s="3">
        <v>11583</v>
      </c>
      <c r="G754" t="s">
        <v>39</v>
      </c>
      <c r="H754" t="s">
        <v>17</v>
      </c>
    </row>
    <row r="755" spans="1:8" x14ac:dyDescent="0.25">
      <c r="A755" s="1">
        <v>45567</v>
      </c>
      <c r="B755" t="s">
        <v>33</v>
      </c>
      <c r="C755" t="s">
        <v>9</v>
      </c>
      <c r="D755" t="s">
        <v>10</v>
      </c>
      <c r="E755">
        <v>4</v>
      </c>
      <c r="F755" s="3">
        <v>4420</v>
      </c>
      <c r="G755" t="s">
        <v>31</v>
      </c>
      <c r="H755" t="s">
        <v>34</v>
      </c>
    </row>
    <row r="756" spans="1:8" x14ac:dyDescent="0.25">
      <c r="A756" s="1">
        <v>45291</v>
      </c>
      <c r="B756" t="s">
        <v>42</v>
      </c>
      <c r="C756" t="s">
        <v>41</v>
      </c>
      <c r="D756" t="s">
        <v>26</v>
      </c>
      <c r="E756">
        <v>4</v>
      </c>
      <c r="F756" s="3">
        <v>3792</v>
      </c>
      <c r="G756" t="s">
        <v>16</v>
      </c>
      <c r="H756" t="s">
        <v>28</v>
      </c>
    </row>
    <row r="757" spans="1:8" x14ac:dyDescent="0.25">
      <c r="A757" s="1">
        <v>45172</v>
      </c>
      <c r="B757" t="s">
        <v>24</v>
      </c>
      <c r="C757" t="s">
        <v>35</v>
      </c>
      <c r="D757" t="s">
        <v>36</v>
      </c>
      <c r="E757">
        <v>20</v>
      </c>
      <c r="F757" s="3">
        <v>25020</v>
      </c>
      <c r="G757" t="s">
        <v>27</v>
      </c>
      <c r="H757" t="s">
        <v>32</v>
      </c>
    </row>
    <row r="758" spans="1:8" x14ac:dyDescent="0.25">
      <c r="A758" s="1">
        <v>45776</v>
      </c>
      <c r="B758" t="s">
        <v>40</v>
      </c>
      <c r="C758" t="s">
        <v>35</v>
      </c>
      <c r="D758" t="s">
        <v>36</v>
      </c>
      <c r="E758">
        <v>5</v>
      </c>
      <c r="F758" s="3">
        <v>280</v>
      </c>
      <c r="G758" t="s">
        <v>11</v>
      </c>
      <c r="H758" t="s">
        <v>23</v>
      </c>
    </row>
    <row r="759" spans="1:8" x14ac:dyDescent="0.25">
      <c r="A759" s="1">
        <v>45898</v>
      </c>
      <c r="B759" t="s">
        <v>46</v>
      </c>
      <c r="C759" t="s">
        <v>14</v>
      </c>
      <c r="D759" t="s">
        <v>15</v>
      </c>
      <c r="E759">
        <v>12</v>
      </c>
      <c r="F759" s="3">
        <v>18204</v>
      </c>
      <c r="G759" t="s">
        <v>16</v>
      </c>
      <c r="H759" t="s">
        <v>19</v>
      </c>
    </row>
    <row r="760" spans="1:8" x14ac:dyDescent="0.25">
      <c r="A760" s="1">
        <v>45500</v>
      </c>
      <c r="B760" t="s">
        <v>20</v>
      </c>
      <c r="C760" t="s">
        <v>41</v>
      </c>
      <c r="D760" t="s">
        <v>26</v>
      </c>
      <c r="E760">
        <v>18</v>
      </c>
      <c r="F760" s="3">
        <v>27846</v>
      </c>
      <c r="G760" t="s">
        <v>16</v>
      </c>
      <c r="H760" t="s">
        <v>43</v>
      </c>
    </row>
    <row r="761" spans="1:8" x14ac:dyDescent="0.25">
      <c r="A761" s="1">
        <v>45284</v>
      </c>
      <c r="B761" t="s">
        <v>42</v>
      </c>
      <c r="C761" t="s">
        <v>21</v>
      </c>
      <c r="D761" t="s">
        <v>22</v>
      </c>
      <c r="E761">
        <v>2</v>
      </c>
      <c r="F761" s="3">
        <v>3328</v>
      </c>
      <c r="G761" t="s">
        <v>27</v>
      </c>
      <c r="H761" t="s">
        <v>28</v>
      </c>
    </row>
    <row r="762" spans="1:8" x14ac:dyDescent="0.25">
      <c r="A762" s="1">
        <v>45181</v>
      </c>
      <c r="B762" t="s">
        <v>24</v>
      </c>
      <c r="C762" t="s">
        <v>14</v>
      </c>
      <c r="D762" t="s">
        <v>15</v>
      </c>
      <c r="E762">
        <v>14</v>
      </c>
      <c r="F762" s="3">
        <v>16940</v>
      </c>
      <c r="G762" t="s">
        <v>27</v>
      </c>
      <c r="H762" t="s">
        <v>19</v>
      </c>
    </row>
    <row r="763" spans="1:8" x14ac:dyDescent="0.25">
      <c r="A763" s="1">
        <v>45125</v>
      </c>
      <c r="B763" t="s">
        <v>20</v>
      </c>
      <c r="C763" t="s">
        <v>21</v>
      </c>
      <c r="D763" t="s">
        <v>22</v>
      </c>
      <c r="E763">
        <v>13</v>
      </c>
      <c r="F763" s="3">
        <v>13130</v>
      </c>
      <c r="G763" t="s">
        <v>39</v>
      </c>
      <c r="H763" t="s">
        <v>32</v>
      </c>
    </row>
    <row r="764" spans="1:8" x14ac:dyDescent="0.25">
      <c r="A764" s="1">
        <v>45816</v>
      </c>
      <c r="B764" t="s">
        <v>18</v>
      </c>
      <c r="C764" t="s">
        <v>14</v>
      </c>
      <c r="D764" t="s">
        <v>15</v>
      </c>
      <c r="E764">
        <v>16</v>
      </c>
      <c r="F764" s="3">
        <v>2416</v>
      </c>
      <c r="G764" t="s">
        <v>11</v>
      </c>
      <c r="H764" t="s">
        <v>23</v>
      </c>
    </row>
    <row r="765" spans="1:8" x14ac:dyDescent="0.25">
      <c r="A765" s="1">
        <v>45143</v>
      </c>
      <c r="B765" t="s">
        <v>46</v>
      </c>
      <c r="C765" t="s">
        <v>37</v>
      </c>
      <c r="D765" t="s">
        <v>15</v>
      </c>
      <c r="E765">
        <v>8</v>
      </c>
      <c r="F765" s="3">
        <v>15448</v>
      </c>
      <c r="G765" t="s">
        <v>27</v>
      </c>
      <c r="H765" t="s">
        <v>43</v>
      </c>
    </row>
    <row r="766" spans="1:8" x14ac:dyDescent="0.25">
      <c r="A766" s="1">
        <v>45015</v>
      </c>
      <c r="B766" t="s">
        <v>48</v>
      </c>
      <c r="C766" t="s">
        <v>38</v>
      </c>
      <c r="D766" t="s">
        <v>22</v>
      </c>
      <c r="E766">
        <v>4</v>
      </c>
      <c r="F766" s="3">
        <v>2100</v>
      </c>
      <c r="G766" t="s">
        <v>16</v>
      </c>
      <c r="H766" t="s">
        <v>32</v>
      </c>
    </row>
    <row r="767" spans="1:8" x14ac:dyDescent="0.25">
      <c r="A767" s="1">
        <v>44944</v>
      </c>
      <c r="B767" t="s">
        <v>29</v>
      </c>
      <c r="C767" t="s">
        <v>25</v>
      </c>
      <c r="D767" t="s">
        <v>26</v>
      </c>
      <c r="E767">
        <v>3</v>
      </c>
      <c r="F767" s="3">
        <v>5565</v>
      </c>
      <c r="G767" t="s">
        <v>16</v>
      </c>
      <c r="H767" t="s">
        <v>12</v>
      </c>
    </row>
    <row r="768" spans="1:8" x14ac:dyDescent="0.25">
      <c r="A768" s="1">
        <v>45702</v>
      </c>
      <c r="B768" t="s">
        <v>47</v>
      </c>
      <c r="C768" t="s">
        <v>37</v>
      </c>
      <c r="D768" t="s">
        <v>15</v>
      </c>
      <c r="E768">
        <v>20</v>
      </c>
      <c r="F768" s="3">
        <v>26200</v>
      </c>
      <c r="G768" t="s">
        <v>39</v>
      </c>
      <c r="H768" t="s">
        <v>12</v>
      </c>
    </row>
    <row r="769" spans="1:8" x14ac:dyDescent="0.25">
      <c r="A769" s="1">
        <v>45051</v>
      </c>
      <c r="B769" t="s">
        <v>13</v>
      </c>
      <c r="C769" t="s">
        <v>14</v>
      </c>
      <c r="D769" t="s">
        <v>15</v>
      </c>
      <c r="E769">
        <v>18</v>
      </c>
      <c r="F769" s="3">
        <v>24966</v>
      </c>
      <c r="G769" t="s">
        <v>31</v>
      </c>
      <c r="H769" t="s">
        <v>34</v>
      </c>
    </row>
    <row r="770" spans="1:8" x14ac:dyDescent="0.25">
      <c r="A770" s="1">
        <v>45397</v>
      </c>
      <c r="B770" t="s">
        <v>40</v>
      </c>
      <c r="C770" t="s">
        <v>41</v>
      </c>
      <c r="D770" t="s">
        <v>26</v>
      </c>
      <c r="E770">
        <v>6</v>
      </c>
      <c r="F770" s="3">
        <v>6822</v>
      </c>
      <c r="G770" t="s">
        <v>11</v>
      </c>
      <c r="H770" t="s">
        <v>23</v>
      </c>
    </row>
    <row r="771" spans="1:8" x14ac:dyDescent="0.25">
      <c r="A771" s="1">
        <v>45957</v>
      </c>
      <c r="B771" t="s">
        <v>33</v>
      </c>
      <c r="C771" t="s">
        <v>35</v>
      </c>
      <c r="D771" t="s">
        <v>36</v>
      </c>
      <c r="E771">
        <v>13</v>
      </c>
      <c r="F771" s="3">
        <v>17875</v>
      </c>
      <c r="G771" t="s">
        <v>16</v>
      </c>
      <c r="H771" t="s">
        <v>34</v>
      </c>
    </row>
    <row r="772" spans="1:8" x14ac:dyDescent="0.25">
      <c r="A772" s="1">
        <v>45289</v>
      </c>
      <c r="B772" t="s">
        <v>42</v>
      </c>
      <c r="C772" t="s">
        <v>41</v>
      </c>
      <c r="D772" t="s">
        <v>26</v>
      </c>
      <c r="E772">
        <v>20</v>
      </c>
      <c r="F772" s="3">
        <v>7400</v>
      </c>
      <c r="G772" t="s">
        <v>31</v>
      </c>
      <c r="H772" t="s">
        <v>17</v>
      </c>
    </row>
    <row r="773" spans="1:8" x14ac:dyDescent="0.25">
      <c r="A773" s="1">
        <v>44965</v>
      </c>
      <c r="B773" t="s">
        <v>47</v>
      </c>
      <c r="C773" t="s">
        <v>41</v>
      </c>
      <c r="D773" t="s">
        <v>26</v>
      </c>
      <c r="E773">
        <v>3</v>
      </c>
      <c r="F773" s="3">
        <v>2019</v>
      </c>
      <c r="G773" t="s">
        <v>27</v>
      </c>
      <c r="H773" t="s">
        <v>32</v>
      </c>
    </row>
    <row r="774" spans="1:8" x14ac:dyDescent="0.25">
      <c r="A774" s="1">
        <v>45233</v>
      </c>
      <c r="B774" t="s">
        <v>8</v>
      </c>
      <c r="C774" t="s">
        <v>9</v>
      </c>
      <c r="D774" t="s">
        <v>10</v>
      </c>
      <c r="E774">
        <v>2</v>
      </c>
      <c r="F774" s="3">
        <v>2556</v>
      </c>
      <c r="G774" t="s">
        <v>11</v>
      </c>
      <c r="H774" t="s">
        <v>34</v>
      </c>
    </row>
    <row r="775" spans="1:8" x14ac:dyDescent="0.25">
      <c r="A775" s="1">
        <v>45658</v>
      </c>
      <c r="B775" t="s">
        <v>29</v>
      </c>
      <c r="C775" t="s">
        <v>30</v>
      </c>
      <c r="D775" t="s">
        <v>15</v>
      </c>
      <c r="E775">
        <v>16</v>
      </c>
      <c r="F775" s="3">
        <v>23552</v>
      </c>
      <c r="G775" t="s">
        <v>16</v>
      </c>
      <c r="H775" t="s">
        <v>28</v>
      </c>
    </row>
    <row r="776" spans="1:8" x14ac:dyDescent="0.25">
      <c r="A776" s="1">
        <v>45276</v>
      </c>
      <c r="B776" t="s">
        <v>42</v>
      </c>
      <c r="C776" t="s">
        <v>35</v>
      </c>
      <c r="D776" t="s">
        <v>36</v>
      </c>
      <c r="E776">
        <v>10</v>
      </c>
      <c r="F776" s="3">
        <v>10080</v>
      </c>
      <c r="G776" t="s">
        <v>11</v>
      </c>
      <c r="H776" t="s">
        <v>32</v>
      </c>
    </row>
    <row r="777" spans="1:8" x14ac:dyDescent="0.25">
      <c r="A777" s="1">
        <v>45963</v>
      </c>
      <c r="B777" t="s">
        <v>8</v>
      </c>
      <c r="C777" t="s">
        <v>30</v>
      </c>
      <c r="D777" t="s">
        <v>15</v>
      </c>
      <c r="E777">
        <v>12</v>
      </c>
      <c r="F777" s="3">
        <v>2928</v>
      </c>
      <c r="G777" t="s">
        <v>39</v>
      </c>
      <c r="H777" t="s">
        <v>32</v>
      </c>
    </row>
    <row r="778" spans="1:8" x14ac:dyDescent="0.25">
      <c r="A778" s="1">
        <v>45233</v>
      </c>
      <c r="B778" t="s">
        <v>8</v>
      </c>
      <c r="C778" t="s">
        <v>30</v>
      </c>
      <c r="D778" t="s">
        <v>15</v>
      </c>
      <c r="E778">
        <v>13</v>
      </c>
      <c r="F778" s="3">
        <v>9672</v>
      </c>
      <c r="G778" t="s">
        <v>31</v>
      </c>
      <c r="H778" t="s">
        <v>28</v>
      </c>
    </row>
    <row r="779" spans="1:8" x14ac:dyDescent="0.25">
      <c r="A779" s="1">
        <v>45093</v>
      </c>
      <c r="B779" t="s">
        <v>18</v>
      </c>
      <c r="C779" t="s">
        <v>38</v>
      </c>
      <c r="D779" t="s">
        <v>22</v>
      </c>
      <c r="E779">
        <v>6</v>
      </c>
      <c r="F779" s="3">
        <v>2514</v>
      </c>
      <c r="G779" t="s">
        <v>39</v>
      </c>
      <c r="H779" t="s">
        <v>12</v>
      </c>
    </row>
    <row r="780" spans="1:8" x14ac:dyDescent="0.25">
      <c r="A780" s="1">
        <v>45978</v>
      </c>
      <c r="B780" t="s">
        <v>8</v>
      </c>
      <c r="C780" t="s">
        <v>25</v>
      </c>
      <c r="D780" t="s">
        <v>26</v>
      </c>
      <c r="E780">
        <v>8</v>
      </c>
      <c r="F780" s="3">
        <v>7392</v>
      </c>
      <c r="G780" t="s">
        <v>16</v>
      </c>
      <c r="H780" t="s">
        <v>12</v>
      </c>
    </row>
    <row r="781" spans="1:8" x14ac:dyDescent="0.25">
      <c r="A781" s="1">
        <v>45883</v>
      </c>
      <c r="B781" t="s">
        <v>46</v>
      </c>
      <c r="C781" t="s">
        <v>21</v>
      </c>
      <c r="D781" t="s">
        <v>22</v>
      </c>
      <c r="E781">
        <v>6</v>
      </c>
      <c r="F781" s="3">
        <v>10290</v>
      </c>
      <c r="G781" t="s">
        <v>27</v>
      </c>
      <c r="H781" t="s">
        <v>43</v>
      </c>
    </row>
    <row r="782" spans="1:8" x14ac:dyDescent="0.25">
      <c r="A782" s="1">
        <v>45106</v>
      </c>
      <c r="B782" t="s">
        <v>18</v>
      </c>
      <c r="C782" t="s">
        <v>41</v>
      </c>
      <c r="D782" t="s">
        <v>26</v>
      </c>
      <c r="E782">
        <v>20</v>
      </c>
      <c r="F782" s="3">
        <v>5620</v>
      </c>
      <c r="G782" t="s">
        <v>31</v>
      </c>
      <c r="H782" t="s">
        <v>12</v>
      </c>
    </row>
    <row r="783" spans="1:8" x14ac:dyDescent="0.25">
      <c r="A783" s="1">
        <v>45364</v>
      </c>
      <c r="B783" t="s">
        <v>48</v>
      </c>
      <c r="C783" t="s">
        <v>44</v>
      </c>
      <c r="D783" t="s">
        <v>45</v>
      </c>
      <c r="E783">
        <v>2</v>
      </c>
      <c r="F783" s="3">
        <v>1872</v>
      </c>
      <c r="G783" t="s">
        <v>16</v>
      </c>
      <c r="H783" t="s">
        <v>43</v>
      </c>
    </row>
    <row r="784" spans="1:8" x14ac:dyDescent="0.25">
      <c r="A784" s="1">
        <v>45025</v>
      </c>
      <c r="B784" t="s">
        <v>40</v>
      </c>
      <c r="C784" t="s">
        <v>35</v>
      </c>
      <c r="D784" t="s">
        <v>36</v>
      </c>
      <c r="E784">
        <v>14</v>
      </c>
      <c r="F784" s="3">
        <v>23520</v>
      </c>
      <c r="G784" t="s">
        <v>27</v>
      </c>
      <c r="H784" t="s">
        <v>28</v>
      </c>
    </row>
    <row r="785" spans="1:8" x14ac:dyDescent="0.25">
      <c r="A785" s="1">
        <v>46012</v>
      </c>
      <c r="B785" t="s">
        <v>42</v>
      </c>
      <c r="C785" t="s">
        <v>9</v>
      </c>
      <c r="D785" t="s">
        <v>10</v>
      </c>
      <c r="E785">
        <v>9</v>
      </c>
      <c r="F785" s="3">
        <v>3429</v>
      </c>
      <c r="G785" t="s">
        <v>11</v>
      </c>
      <c r="H785" t="s">
        <v>12</v>
      </c>
    </row>
    <row r="786" spans="1:8" x14ac:dyDescent="0.25">
      <c r="A786" s="1">
        <v>45914</v>
      </c>
      <c r="B786" t="s">
        <v>24</v>
      </c>
      <c r="C786" t="s">
        <v>35</v>
      </c>
      <c r="D786" t="s">
        <v>36</v>
      </c>
      <c r="E786">
        <v>15</v>
      </c>
      <c r="F786" s="3">
        <v>25320</v>
      </c>
      <c r="G786" t="s">
        <v>39</v>
      </c>
      <c r="H786" t="s">
        <v>12</v>
      </c>
    </row>
    <row r="787" spans="1:8" x14ac:dyDescent="0.25">
      <c r="A787" s="1">
        <v>45527</v>
      </c>
      <c r="B787" t="s">
        <v>46</v>
      </c>
      <c r="C787" t="s">
        <v>9</v>
      </c>
      <c r="D787" t="s">
        <v>10</v>
      </c>
      <c r="E787">
        <v>6</v>
      </c>
      <c r="F787" s="3">
        <v>7686</v>
      </c>
      <c r="G787" t="s">
        <v>31</v>
      </c>
      <c r="H787" t="s">
        <v>32</v>
      </c>
    </row>
    <row r="788" spans="1:8" x14ac:dyDescent="0.25">
      <c r="A788" s="1">
        <v>45912</v>
      </c>
      <c r="B788" t="s">
        <v>24</v>
      </c>
      <c r="C788" t="s">
        <v>44</v>
      </c>
      <c r="D788" t="s">
        <v>45</v>
      </c>
      <c r="E788">
        <v>6</v>
      </c>
      <c r="F788" s="3">
        <v>3798</v>
      </c>
      <c r="G788" t="s">
        <v>16</v>
      </c>
      <c r="H788" t="s">
        <v>28</v>
      </c>
    </row>
    <row r="789" spans="1:8" x14ac:dyDescent="0.25">
      <c r="A789" s="1">
        <v>45786</v>
      </c>
      <c r="B789" t="s">
        <v>13</v>
      </c>
      <c r="C789" t="s">
        <v>41</v>
      </c>
      <c r="D789" t="s">
        <v>26</v>
      </c>
      <c r="E789">
        <v>17</v>
      </c>
      <c r="F789" s="3">
        <v>5814</v>
      </c>
      <c r="G789" t="s">
        <v>39</v>
      </c>
      <c r="H789" t="s">
        <v>32</v>
      </c>
    </row>
    <row r="790" spans="1:8" x14ac:dyDescent="0.25">
      <c r="A790" s="1">
        <v>45902</v>
      </c>
      <c r="B790" t="s">
        <v>24</v>
      </c>
      <c r="C790" t="s">
        <v>9</v>
      </c>
      <c r="D790" t="s">
        <v>10</v>
      </c>
      <c r="E790">
        <v>14</v>
      </c>
      <c r="F790" s="3">
        <v>20860</v>
      </c>
      <c r="G790" t="s">
        <v>31</v>
      </c>
      <c r="H790" t="s">
        <v>17</v>
      </c>
    </row>
    <row r="791" spans="1:8" x14ac:dyDescent="0.25">
      <c r="A791" s="1">
        <v>45793</v>
      </c>
      <c r="B791" t="s">
        <v>13</v>
      </c>
      <c r="C791" t="s">
        <v>44</v>
      </c>
      <c r="D791" t="s">
        <v>45</v>
      </c>
      <c r="E791">
        <v>6</v>
      </c>
      <c r="F791" s="3">
        <v>1794</v>
      </c>
      <c r="G791" t="s">
        <v>11</v>
      </c>
      <c r="H791" t="s">
        <v>17</v>
      </c>
    </row>
    <row r="792" spans="1:8" x14ac:dyDescent="0.25">
      <c r="A792" s="1">
        <v>45131</v>
      </c>
      <c r="B792" t="s">
        <v>20</v>
      </c>
      <c r="C792" t="s">
        <v>38</v>
      </c>
      <c r="D792" t="s">
        <v>22</v>
      </c>
      <c r="E792">
        <v>7</v>
      </c>
      <c r="F792" s="3">
        <v>7938</v>
      </c>
      <c r="G792" t="s">
        <v>27</v>
      </c>
      <c r="H792" t="s">
        <v>17</v>
      </c>
    </row>
    <row r="793" spans="1:8" x14ac:dyDescent="0.25">
      <c r="A793" s="1">
        <v>45685</v>
      </c>
      <c r="B793" t="s">
        <v>29</v>
      </c>
      <c r="C793" t="s">
        <v>35</v>
      </c>
      <c r="D793" t="s">
        <v>36</v>
      </c>
      <c r="E793">
        <v>1</v>
      </c>
      <c r="F793" s="3">
        <v>727</v>
      </c>
      <c r="G793" t="s">
        <v>31</v>
      </c>
      <c r="H793" t="s">
        <v>17</v>
      </c>
    </row>
    <row r="794" spans="1:8" x14ac:dyDescent="0.25">
      <c r="A794" s="1">
        <v>45820</v>
      </c>
      <c r="B794" t="s">
        <v>18</v>
      </c>
      <c r="C794" t="s">
        <v>41</v>
      </c>
      <c r="D794" t="s">
        <v>26</v>
      </c>
      <c r="E794">
        <v>5</v>
      </c>
      <c r="F794" s="3">
        <v>2500</v>
      </c>
      <c r="G794" t="s">
        <v>27</v>
      </c>
      <c r="H794" t="s">
        <v>43</v>
      </c>
    </row>
    <row r="795" spans="1:8" x14ac:dyDescent="0.25">
      <c r="A795" s="1">
        <v>45668</v>
      </c>
      <c r="B795" t="s">
        <v>29</v>
      </c>
      <c r="C795" t="s">
        <v>35</v>
      </c>
      <c r="D795" t="s">
        <v>36</v>
      </c>
      <c r="E795">
        <v>19</v>
      </c>
      <c r="F795" s="3">
        <v>28652</v>
      </c>
      <c r="G795" t="s">
        <v>16</v>
      </c>
      <c r="H795" t="s">
        <v>28</v>
      </c>
    </row>
    <row r="796" spans="1:8" x14ac:dyDescent="0.25">
      <c r="A796" s="1">
        <v>45418</v>
      </c>
      <c r="B796" t="s">
        <v>13</v>
      </c>
      <c r="C796" t="s">
        <v>35</v>
      </c>
      <c r="D796" t="s">
        <v>36</v>
      </c>
      <c r="E796">
        <v>17</v>
      </c>
      <c r="F796" s="3">
        <v>29699</v>
      </c>
      <c r="G796" t="s">
        <v>31</v>
      </c>
      <c r="H796" t="s">
        <v>23</v>
      </c>
    </row>
    <row r="797" spans="1:8" x14ac:dyDescent="0.25">
      <c r="A797" s="1">
        <v>44975</v>
      </c>
      <c r="B797" t="s">
        <v>47</v>
      </c>
      <c r="C797" t="s">
        <v>14</v>
      </c>
      <c r="D797" t="s">
        <v>15</v>
      </c>
      <c r="E797">
        <v>5</v>
      </c>
      <c r="F797" s="3">
        <v>1745</v>
      </c>
      <c r="G797" t="s">
        <v>16</v>
      </c>
      <c r="H797" t="s">
        <v>17</v>
      </c>
    </row>
    <row r="798" spans="1:8" x14ac:dyDescent="0.25">
      <c r="A798" s="1">
        <v>44948</v>
      </c>
      <c r="B798" t="s">
        <v>29</v>
      </c>
      <c r="C798" t="s">
        <v>37</v>
      </c>
      <c r="D798" t="s">
        <v>15</v>
      </c>
      <c r="E798">
        <v>20</v>
      </c>
      <c r="F798" s="3">
        <v>21660</v>
      </c>
      <c r="G798" t="s">
        <v>31</v>
      </c>
      <c r="H798" t="s">
        <v>43</v>
      </c>
    </row>
    <row r="799" spans="1:8" x14ac:dyDescent="0.25">
      <c r="A799" s="1">
        <v>45318</v>
      </c>
      <c r="B799" t="s">
        <v>29</v>
      </c>
      <c r="C799" t="s">
        <v>41</v>
      </c>
      <c r="D799" t="s">
        <v>26</v>
      </c>
      <c r="E799">
        <v>18</v>
      </c>
      <c r="F799" s="3">
        <v>13968</v>
      </c>
      <c r="G799" t="s">
        <v>39</v>
      </c>
      <c r="H799" t="s">
        <v>19</v>
      </c>
    </row>
    <row r="800" spans="1:8" x14ac:dyDescent="0.25">
      <c r="A800" s="1">
        <v>45282</v>
      </c>
      <c r="B800" t="s">
        <v>42</v>
      </c>
      <c r="C800" t="s">
        <v>9</v>
      </c>
      <c r="D800" t="s">
        <v>10</v>
      </c>
      <c r="E800">
        <v>13</v>
      </c>
      <c r="F800" s="3">
        <v>11609</v>
      </c>
      <c r="G800" t="s">
        <v>31</v>
      </c>
      <c r="H800" t="s">
        <v>32</v>
      </c>
    </row>
    <row r="801" spans="1:8" x14ac:dyDescent="0.25">
      <c r="A801" s="1">
        <v>45678</v>
      </c>
      <c r="B801" t="s">
        <v>29</v>
      </c>
      <c r="C801" t="s">
        <v>41</v>
      </c>
      <c r="D801" t="s">
        <v>26</v>
      </c>
      <c r="E801">
        <v>4</v>
      </c>
      <c r="F801" s="3">
        <v>5124</v>
      </c>
      <c r="G801" t="s">
        <v>11</v>
      </c>
      <c r="H801" t="s">
        <v>34</v>
      </c>
    </row>
    <row r="802" spans="1:8" x14ac:dyDescent="0.25">
      <c r="A802" s="1">
        <v>45004</v>
      </c>
      <c r="B802" t="s">
        <v>48</v>
      </c>
      <c r="C802" t="s">
        <v>14</v>
      </c>
      <c r="D802" t="s">
        <v>15</v>
      </c>
      <c r="E802">
        <v>7</v>
      </c>
      <c r="F802" s="3">
        <v>5033</v>
      </c>
      <c r="G802" t="s">
        <v>16</v>
      </c>
      <c r="H802" t="s">
        <v>34</v>
      </c>
    </row>
    <row r="803" spans="1:8" x14ac:dyDescent="0.25">
      <c r="A803" s="1">
        <v>45716</v>
      </c>
      <c r="B803" t="s">
        <v>47</v>
      </c>
      <c r="C803" t="s">
        <v>38</v>
      </c>
      <c r="D803" t="s">
        <v>22</v>
      </c>
      <c r="E803">
        <v>3</v>
      </c>
      <c r="F803" s="3">
        <v>3801</v>
      </c>
      <c r="G803" t="s">
        <v>27</v>
      </c>
      <c r="H803" t="s">
        <v>19</v>
      </c>
    </row>
    <row r="804" spans="1:8" x14ac:dyDescent="0.25">
      <c r="A804" s="1">
        <v>45531</v>
      </c>
      <c r="B804" t="s">
        <v>46</v>
      </c>
      <c r="C804" t="s">
        <v>25</v>
      </c>
      <c r="D804" t="s">
        <v>26</v>
      </c>
      <c r="E804">
        <v>9</v>
      </c>
      <c r="F804" s="3">
        <v>10602</v>
      </c>
      <c r="G804" t="s">
        <v>11</v>
      </c>
      <c r="H804" t="s">
        <v>12</v>
      </c>
    </row>
    <row r="805" spans="1:8" x14ac:dyDescent="0.25">
      <c r="A805" s="1">
        <v>45746</v>
      </c>
      <c r="B805" t="s">
        <v>48</v>
      </c>
      <c r="C805" t="s">
        <v>44</v>
      </c>
      <c r="D805" t="s">
        <v>45</v>
      </c>
      <c r="E805">
        <v>18</v>
      </c>
      <c r="F805" s="3">
        <v>32706</v>
      </c>
      <c r="G805" t="s">
        <v>16</v>
      </c>
      <c r="H805" t="s">
        <v>12</v>
      </c>
    </row>
    <row r="806" spans="1:8" x14ac:dyDescent="0.25">
      <c r="A806" s="1">
        <v>45036</v>
      </c>
      <c r="B806" t="s">
        <v>40</v>
      </c>
      <c r="C806" t="s">
        <v>21</v>
      </c>
      <c r="D806" t="s">
        <v>22</v>
      </c>
      <c r="E806">
        <v>9</v>
      </c>
      <c r="F806" s="3">
        <v>2358</v>
      </c>
      <c r="G806" t="s">
        <v>39</v>
      </c>
      <c r="H806" t="s">
        <v>23</v>
      </c>
    </row>
    <row r="807" spans="1:8" x14ac:dyDescent="0.25">
      <c r="A807" s="1">
        <v>45473</v>
      </c>
      <c r="B807" t="s">
        <v>18</v>
      </c>
      <c r="C807" t="s">
        <v>14</v>
      </c>
      <c r="D807" t="s">
        <v>15</v>
      </c>
      <c r="E807">
        <v>4</v>
      </c>
      <c r="F807" s="3">
        <v>6544</v>
      </c>
      <c r="G807" t="s">
        <v>11</v>
      </c>
      <c r="H807" t="s">
        <v>43</v>
      </c>
    </row>
    <row r="808" spans="1:8" x14ac:dyDescent="0.25">
      <c r="A808" s="1">
        <v>45079</v>
      </c>
      <c r="B808" t="s">
        <v>18</v>
      </c>
      <c r="C808" t="s">
        <v>37</v>
      </c>
      <c r="D808" t="s">
        <v>15</v>
      </c>
      <c r="E808">
        <v>5</v>
      </c>
      <c r="F808" s="3">
        <v>1320</v>
      </c>
      <c r="G808" t="s">
        <v>27</v>
      </c>
      <c r="H808" t="s">
        <v>12</v>
      </c>
    </row>
    <row r="809" spans="1:8" x14ac:dyDescent="0.25">
      <c r="A809" s="1">
        <v>45053</v>
      </c>
      <c r="B809" t="s">
        <v>13</v>
      </c>
      <c r="C809" t="s">
        <v>9</v>
      </c>
      <c r="D809" t="s">
        <v>10</v>
      </c>
      <c r="E809">
        <v>19</v>
      </c>
      <c r="F809" s="3">
        <v>1216</v>
      </c>
      <c r="G809" t="s">
        <v>11</v>
      </c>
      <c r="H809" t="s">
        <v>28</v>
      </c>
    </row>
    <row r="810" spans="1:8" x14ac:dyDescent="0.25">
      <c r="A810" s="1">
        <v>45347</v>
      </c>
      <c r="B810" t="s">
        <v>47</v>
      </c>
      <c r="C810" t="s">
        <v>9</v>
      </c>
      <c r="D810" t="s">
        <v>10</v>
      </c>
      <c r="E810">
        <v>19</v>
      </c>
      <c r="F810" s="3">
        <v>11894</v>
      </c>
      <c r="G810" t="s">
        <v>11</v>
      </c>
      <c r="H810" t="s">
        <v>17</v>
      </c>
    </row>
    <row r="811" spans="1:8" x14ac:dyDescent="0.25">
      <c r="A811" s="1">
        <v>45155</v>
      </c>
      <c r="B811" t="s">
        <v>46</v>
      </c>
      <c r="C811" t="s">
        <v>38</v>
      </c>
      <c r="D811" t="s">
        <v>22</v>
      </c>
      <c r="E811">
        <v>11</v>
      </c>
      <c r="F811" s="3">
        <v>19195</v>
      </c>
      <c r="G811" t="s">
        <v>11</v>
      </c>
      <c r="H811" t="s">
        <v>12</v>
      </c>
    </row>
    <row r="812" spans="1:8" x14ac:dyDescent="0.25">
      <c r="A812" s="1">
        <v>45795</v>
      </c>
      <c r="B812" t="s">
        <v>13</v>
      </c>
      <c r="C812" t="s">
        <v>35</v>
      </c>
      <c r="D812" t="s">
        <v>36</v>
      </c>
      <c r="E812">
        <v>7</v>
      </c>
      <c r="F812" s="3">
        <v>12789</v>
      </c>
      <c r="G812" t="s">
        <v>31</v>
      </c>
      <c r="H812" t="s">
        <v>28</v>
      </c>
    </row>
    <row r="813" spans="1:8" x14ac:dyDescent="0.25">
      <c r="A813" s="1">
        <v>46015</v>
      </c>
      <c r="B813" t="s">
        <v>42</v>
      </c>
      <c r="C813" t="s">
        <v>21</v>
      </c>
      <c r="D813" t="s">
        <v>22</v>
      </c>
      <c r="E813">
        <v>10</v>
      </c>
      <c r="F813" s="3">
        <v>18500</v>
      </c>
      <c r="G813" t="s">
        <v>31</v>
      </c>
      <c r="H813" t="s">
        <v>12</v>
      </c>
    </row>
    <row r="814" spans="1:8" x14ac:dyDescent="0.25">
      <c r="A814" s="1">
        <v>45001</v>
      </c>
      <c r="B814" t="s">
        <v>48</v>
      </c>
      <c r="C814" t="s">
        <v>25</v>
      </c>
      <c r="D814" t="s">
        <v>26</v>
      </c>
      <c r="E814">
        <v>2</v>
      </c>
      <c r="F814" s="3">
        <v>394</v>
      </c>
      <c r="G814" t="s">
        <v>16</v>
      </c>
      <c r="H814" t="s">
        <v>32</v>
      </c>
    </row>
    <row r="815" spans="1:8" x14ac:dyDescent="0.25">
      <c r="A815" s="1">
        <v>45114</v>
      </c>
      <c r="B815" t="s">
        <v>20</v>
      </c>
      <c r="C815" t="s">
        <v>14</v>
      </c>
      <c r="D815" t="s">
        <v>15</v>
      </c>
      <c r="E815">
        <v>18</v>
      </c>
      <c r="F815" s="3">
        <v>15966</v>
      </c>
      <c r="G815" t="s">
        <v>31</v>
      </c>
      <c r="H815" t="s">
        <v>17</v>
      </c>
    </row>
    <row r="816" spans="1:8" x14ac:dyDescent="0.25">
      <c r="A816" s="1">
        <v>44938</v>
      </c>
      <c r="B816" t="s">
        <v>29</v>
      </c>
      <c r="C816" t="s">
        <v>30</v>
      </c>
      <c r="D816" t="s">
        <v>15</v>
      </c>
      <c r="E816">
        <v>18</v>
      </c>
      <c r="F816" s="3">
        <v>33984</v>
      </c>
      <c r="G816" t="s">
        <v>39</v>
      </c>
      <c r="H816" t="s">
        <v>19</v>
      </c>
    </row>
    <row r="817" spans="1:8" x14ac:dyDescent="0.25">
      <c r="A817" s="1">
        <v>45608</v>
      </c>
      <c r="B817" t="s">
        <v>8</v>
      </c>
      <c r="C817" t="s">
        <v>41</v>
      </c>
      <c r="D817" t="s">
        <v>26</v>
      </c>
      <c r="E817">
        <v>14</v>
      </c>
      <c r="F817" s="3">
        <v>3752</v>
      </c>
      <c r="G817" t="s">
        <v>31</v>
      </c>
      <c r="H817" t="s">
        <v>12</v>
      </c>
    </row>
    <row r="818" spans="1:8" x14ac:dyDescent="0.25">
      <c r="A818" s="1">
        <v>45187</v>
      </c>
      <c r="B818" t="s">
        <v>24</v>
      </c>
      <c r="C818" t="s">
        <v>37</v>
      </c>
      <c r="D818" t="s">
        <v>15</v>
      </c>
      <c r="E818">
        <v>14</v>
      </c>
      <c r="F818" s="3">
        <v>22330</v>
      </c>
      <c r="G818" t="s">
        <v>27</v>
      </c>
      <c r="H818" t="s">
        <v>19</v>
      </c>
    </row>
    <row r="819" spans="1:8" x14ac:dyDescent="0.25">
      <c r="A819" s="1">
        <v>45521</v>
      </c>
      <c r="B819" t="s">
        <v>46</v>
      </c>
      <c r="C819" t="s">
        <v>35</v>
      </c>
      <c r="D819" t="s">
        <v>36</v>
      </c>
      <c r="E819">
        <v>17</v>
      </c>
      <c r="F819" s="3">
        <v>15028</v>
      </c>
      <c r="G819" t="s">
        <v>16</v>
      </c>
      <c r="H819" t="s">
        <v>19</v>
      </c>
    </row>
    <row r="820" spans="1:8" x14ac:dyDescent="0.25">
      <c r="A820" s="1">
        <v>45350</v>
      </c>
      <c r="B820" t="s">
        <v>47</v>
      </c>
      <c r="C820" t="s">
        <v>14</v>
      </c>
      <c r="D820" t="s">
        <v>15</v>
      </c>
      <c r="E820">
        <v>9</v>
      </c>
      <c r="F820" s="3">
        <v>3816</v>
      </c>
      <c r="G820" t="s">
        <v>27</v>
      </c>
      <c r="H820" t="s">
        <v>12</v>
      </c>
    </row>
    <row r="821" spans="1:8" x14ac:dyDescent="0.25">
      <c r="A821" s="1">
        <v>45461</v>
      </c>
      <c r="B821" t="s">
        <v>18</v>
      </c>
      <c r="C821" t="s">
        <v>21</v>
      </c>
      <c r="D821" t="s">
        <v>22</v>
      </c>
      <c r="E821">
        <v>17</v>
      </c>
      <c r="F821" s="3">
        <v>13906</v>
      </c>
      <c r="G821" t="s">
        <v>11</v>
      </c>
      <c r="H821" t="s">
        <v>43</v>
      </c>
    </row>
    <row r="822" spans="1:8" x14ac:dyDescent="0.25">
      <c r="A822" s="1">
        <v>45001</v>
      </c>
      <c r="B822" t="s">
        <v>48</v>
      </c>
      <c r="C822" t="s">
        <v>38</v>
      </c>
      <c r="D822" t="s">
        <v>22</v>
      </c>
      <c r="E822">
        <v>17</v>
      </c>
      <c r="F822" s="3">
        <v>24650</v>
      </c>
      <c r="G822" t="s">
        <v>16</v>
      </c>
      <c r="H822" t="s">
        <v>23</v>
      </c>
    </row>
    <row r="823" spans="1:8" x14ac:dyDescent="0.25">
      <c r="A823" s="1">
        <v>45964</v>
      </c>
      <c r="B823" t="s">
        <v>8</v>
      </c>
      <c r="C823" t="s">
        <v>14</v>
      </c>
      <c r="D823" t="s">
        <v>15</v>
      </c>
      <c r="E823">
        <v>13</v>
      </c>
      <c r="F823" s="3">
        <v>1001</v>
      </c>
      <c r="G823" t="s">
        <v>39</v>
      </c>
      <c r="H823" t="s">
        <v>28</v>
      </c>
    </row>
    <row r="824" spans="1:8" x14ac:dyDescent="0.25">
      <c r="A824" s="1">
        <v>45365</v>
      </c>
      <c r="B824" t="s">
        <v>48</v>
      </c>
      <c r="C824" t="s">
        <v>21</v>
      </c>
      <c r="D824" t="s">
        <v>22</v>
      </c>
      <c r="E824">
        <v>19</v>
      </c>
      <c r="F824" s="3">
        <v>15561</v>
      </c>
      <c r="G824" t="s">
        <v>31</v>
      </c>
      <c r="H824" t="s">
        <v>23</v>
      </c>
    </row>
    <row r="825" spans="1:8" x14ac:dyDescent="0.25">
      <c r="A825" s="1">
        <v>45585</v>
      </c>
      <c r="B825" t="s">
        <v>33</v>
      </c>
      <c r="C825" t="s">
        <v>21</v>
      </c>
      <c r="D825" t="s">
        <v>22</v>
      </c>
      <c r="E825">
        <v>13</v>
      </c>
      <c r="F825" s="3">
        <v>15808</v>
      </c>
      <c r="G825" t="s">
        <v>27</v>
      </c>
      <c r="H825" t="s">
        <v>12</v>
      </c>
    </row>
    <row r="826" spans="1:8" x14ac:dyDescent="0.25">
      <c r="A826" s="1">
        <v>45081</v>
      </c>
      <c r="B826" t="s">
        <v>18</v>
      </c>
      <c r="C826" t="s">
        <v>14</v>
      </c>
      <c r="D826" t="s">
        <v>15</v>
      </c>
      <c r="E826">
        <v>14</v>
      </c>
      <c r="F826" s="3">
        <v>19838</v>
      </c>
      <c r="G826" t="s">
        <v>27</v>
      </c>
      <c r="H826" t="s">
        <v>19</v>
      </c>
    </row>
    <row r="827" spans="1:8" x14ac:dyDescent="0.25">
      <c r="A827" s="1">
        <v>45012</v>
      </c>
      <c r="B827" t="s">
        <v>48</v>
      </c>
      <c r="C827" t="s">
        <v>44</v>
      </c>
      <c r="D827" t="s">
        <v>45</v>
      </c>
      <c r="E827">
        <v>5</v>
      </c>
      <c r="F827" s="3">
        <v>7600</v>
      </c>
      <c r="G827" t="s">
        <v>16</v>
      </c>
      <c r="H827" t="s">
        <v>12</v>
      </c>
    </row>
    <row r="828" spans="1:8" x14ac:dyDescent="0.25">
      <c r="A828" s="1">
        <v>45268</v>
      </c>
      <c r="B828" t="s">
        <v>42</v>
      </c>
      <c r="C828" t="s">
        <v>30</v>
      </c>
      <c r="D828" t="s">
        <v>15</v>
      </c>
      <c r="E828">
        <v>18</v>
      </c>
      <c r="F828" s="3">
        <v>6930</v>
      </c>
      <c r="G828" t="s">
        <v>11</v>
      </c>
      <c r="H828" t="s">
        <v>23</v>
      </c>
    </row>
    <row r="829" spans="1:8" x14ac:dyDescent="0.25">
      <c r="A829" s="1">
        <v>44967</v>
      </c>
      <c r="B829" t="s">
        <v>47</v>
      </c>
      <c r="C829" t="s">
        <v>21</v>
      </c>
      <c r="D829" t="s">
        <v>22</v>
      </c>
      <c r="E829">
        <v>1</v>
      </c>
      <c r="F829" s="3">
        <v>729</v>
      </c>
      <c r="G829" t="s">
        <v>31</v>
      </c>
      <c r="H829" t="s">
        <v>19</v>
      </c>
    </row>
    <row r="830" spans="1:8" x14ac:dyDescent="0.25">
      <c r="A830" s="1">
        <v>45276</v>
      </c>
      <c r="B830" t="s">
        <v>42</v>
      </c>
      <c r="C830" t="s">
        <v>14</v>
      </c>
      <c r="D830" t="s">
        <v>15</v>
      </c>
      <c r="E830">
        <v>1</v>
      </c>
      <c r="F830" s="3">
        <v>1862</v>
      </c>
      <c r="G830" t="s">
        <v>16</v>
      </c>
      <c r="H830" t="s">
        <v>12</v>
      </c>
    </row>
    <row r="831" spans="1:8" x14ac:dyDescent="0.25">
      <c r="A831" s="1">
        <v>45074</v>
      </c>
      <c r="B831" t="s">
        <v>13</v>
      </c>
      <c r="C831" t="s">
        <v>41</v>
      </c>
      <c r="D831" t="s">
        <v>26</v>
      </c>
      <c r="E831">
        <v>11</v>
      </c>
      <c r="F831" s="3">
        <v>5687</v>
      </c>
      <c r="G831" t="s">
        <v>39</v>
      </c>
      <c r="H831" t="s">
        <v>19</v>
      </c>
    </row>
    <row r="832" spans="1:8" x14ac:dyDescent="0.25">
      <c r="A832" s="1">
        <v>45395</v>
      </c>
      <c r="B832" t="s">
        <v>40</v>
      </c>
      <c r="C832" t="s">
        <v>25</v>
      </c>
      <c r="D832" t="s">
        <v>26</v>
      </c>
      <c r="E832">
        <v>19</v>
      </c>
      <c r="F832" s="3">
        <v>14687</v>
      </c>
      <c r="G832" t="s">
        <v>27</v>
      </c>
      <c r="H832" t="s">
        <v>17</v>
      </c>
    </row>
    <row r="833" spans="1:8" x14ac:dyDescent="0.25">
      <c r="A833" s="1">
        <v>45988</v>
      </c>
      <c r="B833" t="s">
        <v>8</v>
      </c>
      <c r="C833" t="s">
        <v>25</v>
      </c>
      <c r="D833" t="s">
        <v>26</v>
      </c>
      <c r="E833">
        <v>17</v>
      </c>
      <c r="F833" s="3">
        <v>8432</v>
      </c>
      <c r="G833" t="s">
        <v>31</v>
      </c>
      <c r="H833" t="s">
        <v>19</v>
      </c>
    </row>
    <row r="834" spans="1:8" x14ac:dyDescent="0.25">
      <c r="A834" s="1">
        <v>45247</v>
      </c>
      <c r="B834" t="s">
        <v>8</v>
      </c>
      <c r="C834" t="s">
        <v>41</v>
      </c>
      <c r="D834" t="s">
        <v>26</v>
      </c>
      <c r="E834">
        <v>7</v>
      </c>
      <c r="F834" s="3">
        <v>1099</v>
      </c>
      <c r="G834" t="s">
        <v>11</v>
      </c>
      <c r="H834" t="s">
        <v>17</v>
      </c>
    </row>
    <row r="835" spans="1:8" x14ac:dyDescent="0.25">
      <c r="A835" s="1">
        <v>45304</v>
      </c>
      <c r="B835" t="s">
        <v>29</v>
      </c>
      <c r="C835" t="s">
        <v>30</v>
      </c>
      <c r="D835" t="s">
        <v>15</v>
      </c>
      <c r="E835">
        <v>10</v>
      </c>
      <c r="F835" s="3">
        <v>8350</v>
      </c>
      <c r="G835" t="s">
        <v>31</v>
      </c>
      <c r="H835" t="s">
        <v>17</v>
      </c>
    </row>
    <row r="836" spans="1:8" x14ac:dyDescent="0.25">
      <c r="A836" s="1">
        <v>45462</v>
      </c>
      <c r="B836" t="s">
        <v>18</v>
      </c>
      <c r="C836" t="s">
        <v>41</v>
      </c>
      <c r="D836" t="s">
        <v>26</v>
      </c>
      <c r="E836">
        <v>3</v>
      </c>
      <c r="F836" s="3">
        <v>1821</v>
      </c>
      <c r="G836" t="s">
        <v>27</v>
      </c>
      <c r="H836" t="s">
        <v>43</v>
      </c>
    </row>
    <row r="837" spans="1:8" x14ac:dyDescent="0.25">
      <c r="A837" s="1">
        <v>45067</v>
      </c>
      <c r="B837" t="s">
        <v>13</v>
      </c>
      <c r="C837" t="s">
        <v>21</v>
      </c>
      <c r="D837" t="s">
        <v>22</v>
      </c>
      <c r="E837">
        <v>2</v>
      </c>
      <c r="F837" s="3">
        <v>1102</v>
      </c>
      <c r="G837" t="s">
        <v>39</v>
      </c>
      <c r="H837" t="s">
        <v>23</v>
      </c>
    </row>
    <row r="838" spans="1:8" x14ac:dyDescent="0.25">
      <c r="A838" s="1">
        <v>45808</v>
      </c>
      <c r="B838" t="s">
        <v>13</v>
      </c>
      <c r="C838" t="s">
        <v>37</v>
      </c>
      <c r="D838" t="s">
        <v>15</v>
      </c>
      <c r="E838">
        <v>13</v>
      </c>
      <c r="F838" s="3">
        <v>4524</v>
      </c>
      <c r="G838" t="s">
        <v>11</v>
      </c>
      <c r="H838" t="s">
        <v>32</v>
      </c>
    </row>
    <row r="839" spans="1:8" x14ac:dyDescent="0.25">
      <c r="A839" s="1">
        <v>45055</v>
      </c>
      <c r="B839" t="s">
        <v>13</v>
      </c>
      <c r="C839" t="s">
        <v>21</v>
      </c>
      <c r="D839" t="s">
        <v>22</v>
      </c>
      <c r="E839">
        <v>6</v>
      </c>
      <c r="F839" s="3">
        <v>10404</v>
      </c>
      <c r="G839" t="s">
        <v>16</v>
      </c>
      <c r="H839" t="s">
        <v>23</v>
      </c>
    </row>
    <row r="840" spans="1:8" x14ac:dyDescent="0.25">
      <c r="A840" s="1">
        <v>45284</v>
      </c>
      <c r="B840" t="s">
        <v>42</v>
      </c>
      <c r="C840" t="s">
        <v>25</v>
      </c>
      <c r="D840" t="s">
        <v>26</v>
      </c>
      <c r="E840">
        <v>2</v>
      </c>
      <c r="F840" s="3">
        <v>3666</v>
      </c>
      <c r="G840" t="s">
        <v>39</v>
      </c>
      <c r="H840" t="s">
        <v>12</v>
      </c>
    </row>
    <row r="841" spans="1:8" x14ac:dyDescent="0.25">
      <c r="A841" s="1">
        <v>44943</v>
      </c>
      <c r="B841" t="s">
        <v>29</v>
      </c>
      <c r="C841" t="s">
        <v>35</v>
      </c>
      <c r="D841" t="s">
        <v>36</v>
      </c>
      <c r="E841">
        <v>11</v>
      </c>
      <c r="F841" s="3">
        <v>1430</v>
      </c>
      <c r="G841" t="s">
        <v>31</v>
      </c>
      <c r="H841" t="s">
        <v>32</v>
      </c>
    </row>
    <row r="842" spans="1:8" x14ac:dyDescent="0.25">
      <c r="A842" s="1">
        <v>45337</v>
      </c>
      <c r="B842" t="s">
        <v>47</v>
      </c>
      <c r="C842" t="s">
        <v>14</v>
      </c>
      <c r="D842" t="s">
        <v>15</v>
      </c>
      <c r="E842">
        <v>1</v>
      </c>
      <c r="F842" s="3">
        <v>1474</v>
      </c>
      <c r="G842" t="s">
        <v>27</v>
      </c>
      <c r="H842" t="s">
        <v>43</v>
      </c>
    </row>
    <row r="843" spans="1:8" x14ac:dyDescent="0.25">
      <c r="A843" s="1">
        <v>45332</v>
      </c>
      <c r="B843" t="s">
        <v>47</v>
      </c>
      <c r="C843" t="s">
        <v>30</v>
      </c>
      <c r="D843" t="s">
        <v>15</v>
      </c>
      <c r="E843">
        <v>19</v>
      </c>
      <c r="F843" s="3">
        <v>5548</v>
      </c>
      <c r="G843" t="s">
        <v>27</v>
      </c>
      <c r="H843" t="s">
        <v>19</v>
      </c>
    </row>
    <row r="844" spans="1:8" x14ac:dyDescent="0.25">
      <c r="A844" s="1">
        <v>45806</v>
      </c>
      <c r="B844" t="s">
        <v>13</v>
      </c>
      <c r="C844" t="s">
        <v>38</v>
      </c>
      <c r="D844" t="s">
        <v>22</v>
      </c>
      <c r="E844">
        <v>17</v>
      </c>
      <c r="F844" s="3">
        <v>20621</v>
      </c>
      <c r="G844" t="s">
        <v>31</v>
      </c>
      <c r="H844" t="s">
        <v>32</v>
      </c>
    </row>
    <row r="845" spans="1:8" x14ac:dyDescent="0.25">
      <c r="A845" s="1">
        <v>45775</v>
      </c>
      <c r="B845" t="s">
        <v>40</v>
      </c>
      <c r="C845" t="s">
        <v>9</v>
      </c>
      <c r="D845" t="s">
        <v>10</v>
      </c>
      <c r="E845">
        <v>11</v>
      </c>
      <c r="F845" s="3">
        <v>4312</v>
      </c>
      <c r="G845" t="s">
        <v>16</v>
      </c>
      <c r="H845" t="s">
        <v>32</v>
      </c>
    </row>
    <row r="846" spans="1:8" x14ac:dyDescent="0.25">
      <c r="A846" s="1">
        <v>45087</v>
      </c>
      <c r="B846" t="s">
        <v>18</v>
      </c>
      <c r="C846" t="s">
        <v>35</v>
      </c>
      <c r="D846" t="s">
        <v>36</v>
      </c>
      <c r="E846">
        <v>9</v>
      </c>
      <c r="F846" s="3">
        <v>9135</v>
      </c>
      <c r="G846" t="s">
        <v>27</v>
      </c>
      <c r="H846" t="s">
        <v>23</v>
      </c>
    </row>
    <row r="847" spans="1:8" x14ac:dyDescent="0.25">
      <c r="A847" s="1">
        <v>45066</v>
      </c>
      <c r="B847" t="s">
        <v>13</v>
      </c>
      <c r="C847" t="s">
        <v>30</v>
      </c>
      <c r="D847" t="s">
        <v>15</v>
      </c>
      <c r="E847">
        <v>15</v>
      </c>
      <c r="F847" s="3">
        <v>23430</v>
      </c>
      <c r="G847" t="s">
        <v>11</v>
      </c>
      <c r="H847" t="s">
        <v>28</v>
      </c>
    </row>
    <row r="848" spans="1:8" x14ac:dyDescent="0.25">
      <c r="A848" s="1">
        <v>45070</v>
      </c>
      <c r="B848" t="s">
        <v>13</v>
      </c>
      <c r="C848" t="s">
        <v>14</v>
      </c>
      <c r="D848" t="s">
        <v>15</v>
      </c>
      <c r="E848">
        <v>15</v>
      </c>
      <c r="F848" s="3">
        <v>24600</v>
      </c>
      <c r="G848" t="s">
        <v>31</v>
      </c>
      <c r="H848" t="s">
        <v>19</v>
      </c>
    </row>
    <row r="849" spans="1:8" x14ac:dyDescent="0.25">
      <c r="A849" s="1">
        <v>44934</v>
      </c>
      <c r="B849" t="s">
        <v>29</v>
      </c>
      <c r="C849" t="s">
        <v>38</v>
      </c>
      <c r="D849" t="s">
        <v>22</v>
      </c>
      <c r="E849">
        <v>6</v>
      </c>
      <c r="F849" s="3">
        <v>6228</v>
      </c>
      <c r="G849" t="s">
        <v>39</v>
      </c>
      <c r="H849" t="s">
        <v>43</v>
      </c>
    </row>
    <row r="850" spans="1:8" x14ac:dyDescent="0.25">
      <c r="A850" s="1">
        <v>45252</v>
      </c>
      <c r="B850" t="s">
        <v>8</v>
      </c>
      <c r="C850" t="s">
        <v>21</v>
      </c>
      <c r="D850" t="s">
        <v>22</v>
      </c>
      <c r="E850">
        <v>10</v>
      </c>
      <c r="F850" s="3">
        <v>19300</v>
      </c>
      <c r="G850" t="s">
        <v>11</v>
      </c>
      <c r="H850" t="s">
        <v>12</v>
      </c>
    </row>
    <row r="851" spans="1:8" x14ac:dyDescent="0.25">
      <c r="A851" s="1">
        <v>45699</v>
      </c>
      <c r="B851" t="s">
        <v>47</v>
      </c>
      <c r="C851" t="s">
        <v>9</v>
      </c>
      <c r="D851" t="s">
        <v>10</v>
      </c>
      <c r="E851">
        <v>6</v>
      </c>
      <c r="F851" s="3">
        <v>6390</v>
      </c>
      <c r="G851" t="s">
        <v>11</v>
      </c>
      <c r="H851" t="s">
        <v>19</v>
      </c>
    </row>
    <row r="852" spans="1:8" x14ac:dyDescent="0.25">
      <c r="A852" s="1">
        <v>44977</v>
      </c>
      <c r="B852" t="s">
        <v>47</v>
      </c>
      <c r="C852" t="s">
        <v>9</v>
      </c>
      <c r="D852" t="s">
        <v>10</v>
      </c>
      <c r="E852">
        <v>1</v>
      </c>
      <c r="F852" s="3">
        <v>1721</v>
      </c>
      <c r="G852" t="s">
        <v>31</v>
      </c>
      <c r="H852" t="s">
        <v>32</v>
      </c>
    </row>
    <row r="853" spans="1:8" x14ac:dyDescent="0.25">
      <c r="A853" s="1">
        <v>45401</v>
      </c>
      <c r="B853" t="s">
        <v>40</v>
      </c>
      <c r="C853" t="s">
        <v>37</v>
      </c>
      <c r="D853" t="s">
        <v>15</v>
      </c>
      <c r="E853">
        <v>12</v>
      </c>
      <c r="F853" s="3">
        <v>3312</v>
      </c>
      <c r="G853" t="s">
        <v>31</v>
      </c>
      <c r="H853" t="s">
        <v>28</v>
      </c>
    </row>
    <row r="854" spans="1:8" x14ac:dyDescent="0.25">
      <c r="A854" s="1">
        <v>45935</v>
      </c>
      <c r="B854" t="s">
        <v>33</v>
      </c>
      <c r="C854" t="s">
        <v>38</v>
      </c>
      <c r="D854" t="s">
        <v>22</v>
      </c>
      <c r="E854">
        <v>11</v>
      </c>
      <c r="F854" s="3">
        <v>9020</v>
      </c>
      <c r="G854" t="s">
        <v>27</v>
      </c>
      <c r="H854" t="s">
        <v>23</v>
      </c>
    </row>
    <row r="855" spans="1:8" x14ac:dyDescent="0.25">
      <c r="A855" s="1">
        <v>45433</v>
      </c>
      <c r="B855" t="s">
        <v>13</v>
      </c>
      <c r="C855" t="s">
        <v>35</v>
      </c>
      <c r="D855" t="s">
        <v>36</v>
      </c>
      <c r="E855">
        <v>12</v>
      </c>
      <c r="F855" s="3">
        <v>4476</v>
      </c>
      <c r="G855" t="s">
        <v>31</v>
      </c>
      <c r="H855" t="s">
        <v>43</v>
      </c>
    </row>
    <row r="856" spans="1:8" x14ac:dyDescent="0.25">
      <c r="A856" s="1">
        <v>46021</v>
      </c>
      <c r="B856" t="s">
        <v>42</v>
      </c>
      <c r="C856" t="s">
        <v>14</v>
      </c>
      <c r="D856" t="s">
        <v>15</v>
      </c>
      <c r="E856">
        <v>10</v>
      </c>
      <c r="F856" s="3">
        <v>12750</v>
      </c>
      <c r="G856" t="s">
        <v>11</v>
      </c>
      <c r="H856" t="s">
        <v>28</v>
      </c>
    </row>
    <row r="857" spans="1:8" x14ac:dyDescent="0.25">
      <c r="A857" s="1">
        <v>45446</v>
      </c>
      <c r="B857" t="s">
        <v>18</v>
      </c>
      <c r="C857" t="s">
        <v>38</v>
      </c>
      <c r="D857" t="s">
        <v>22</v>
      </c>
      <c r="E857">
        <v>13</v>
      </c>
      <c r="F857" s="3">
        <v>25948</v>
      </c>
      <c r="G857" t="s">
        <v>39</v>
      </c>
      <c r="H857" t="s">
        <v>19</v>
      </c>
    </row>
    <row r="858" spans="1:8" x14ac:dyDescent="0.25">
      <c r="A858" s="1">
        <v>46007</v>
      </c>
      <c r="B858" t="s">
        <v>42</v>
      </c>
      <c r="C858" t="s">
        <v>35</v>
      </c>
      <c r="D858" t="s">
        <v>36</v>
      </c>
      <c r="E858">
        <v>10</v>
      </c>
      <c r="F858" s="3">
        <v>15900</v>
      </c>
      <c r="G858" t="s">
        <v>16</v>
      </c>
      <c r="H858" t="s">
        <v>32</v>
      </c>
    </row>
    <row r="859" spans="1:8" x14ac:dyDescent="0.25">
      <c r="A859" s="1">
        <v>44940</v>
      </c>
      <c r="B859" t="s">
        <v>29</v>
      </c>
      <c r="C859" t="s">
        <v>25</v>
      </c>
      <c r="D859" t="s">
        <v>26</v>
      </c>
      <c r="E859">
        <v>14</v>
      </c>
      <c r="F859" s="3">
        <v>9814</v>
      </c>
      <c r="G859" t="s">
        <v>31</v>
      </c>
      <c r="H859" t="s">
        <v>17</v>
      </c>
    </row>
    <row r="860" spans="1:8" x14ac:dyDescent="0.25">
      <c r="A860" s="1">
        <v>45042</v>
      </c>
      <c r="B860" t="s">
        <v>40</v>
      </c>
      <c r="C860" t="s">
        <v>44</v>
      </c>
      <c r="D860" t="s">
        <v>45</v>
      </c>
      <c r="E860">
        <v>14</v>
      </c>
      <c r="F860" s="3">
        <v>19012</v>
      </c>
      <c r="G860" t="s">
        <v>31</v>
      </c>
      <c r="H860" t="s">
        <v>12</v>
      </c>
    </row>
    <row r="861" spans="1:8" x14ac:dyDescent="0.25">
      <c r="A861" s="1">
        <v>45519</v>
      </c>
      <c r="B861" t="s">
        <v>46</v>
      </c>
      <c r="C861" t="s">
        <v>41</v>
      </c>
      <c r="D861" t="s">
        <v>26</v>
      </c>
      <c r="E861">
        <v>4</v>
      </c>
      <c r="F861" s="3">
        <v>7528</v>
      </c>
      <c r="G861" t="s">
        <v>31</v>
      </c>
      <c r="H861" t="s">
        <v>32</v>
      </c>
    </row>
    <row r="862" spans="1:8" x14ac:dyDescent="0.25">
      <c r="A862" s="1">
        <v>44946</v>
      </c>
      <c r="B862" t="s">
        <v>29</v>
      </c>
      <c r="C862" t="s">
        <v>35</v>
      </c>
      <c r="D862" t="s">
        <v>36</v>
      </c>
      <c r="E862">
        <v>19</v>
      </c>
      <c r="F862" s="3">
        <v>25251</v>
      </c>
      <c r="G862" t="s">
        <v>11</v>
      </c>
      <c r="H862" t="s">
        <v>28</v>
      </c>
    </row>
    <row r="863" spans="1:8" x14ac:dyDescent="0.25">
      <c r="A863" s="1">
        <v>45542</v>
      </c>
      <c r="B863" t="s">
        <v>24</v>
      </c>
      <c r="C863" t="s">
        <v>41</v>
      </c>
      <c r="D863" t="s">
        <v>26</v>
      </c>
      <c r="E863">
        <v>1</v>
      </c>
      <c r="F863" s="3">
        <v>1785</v>
      </c>
      <c r="G863" t="s">
        <v>39</v>
      </c>
      <c r="H863" t="s">
        <v>28</v>
      </c>
    </row>
    <row r="864" spans="1:8" x14ac:dyDescent="0.25">
      <c r="A864" s="1">
        <v>45353</v>
      </c>
      <c r="B864" t="s">
        <v>48</v>
      </c>
      <c r="C864" t="s">
        <v>25</v>
      </c>
      <c r="D864" t="s">
        <v>26</v>
      </c>
      <c r="E864">
        <v>11</v>
      </c>
      <c r="F864" s="3">
        <v>8657</v>
      </c>
      <c r="G864" t="s">
        <v>39</v>
      </c>
      <c r="H864" t="s">
        <v>43</v>
      </c>
    </row>
    <row r="865" spans="1:8" x14ac:dyDescent="0.25">
      <c r="A865" s="1">
        <v>45652</v>
      </c>
      <c r="B865" t="s">
        <v>42</v>
      </c>
      <c r="C865" t="s">
        <v>14</v>
      </c>
      <c r="D865" t="s">
        <v>15</v>
      </c>
      <c r="E865">
        <v>2</v>
      </c>
      <c r="F865" s="3">
        <v>2186</v>
      </c>
      <c r="G865" t="s">
        <v>11</v>
      </c>
      <c r="H865" t="s">
        <v>23</v>
      </c>
    </row>
    <row r="866" spans="1:8" x14ac:dyDescent="0.25">
      <c r="A866" s="1">
        <v>45858</v>
      </c>
      <c r="B866" t="s">
        <v>20</v>
      </c>
      <c r="C866" t="s">
        <v>35</v>
      </c>
      <c r="D866" t="s">
        <v>36</v>
      </c>
      <c r="E866">
        <v>5</v>
      </c>
      <c r="F866" s="3">
        <v>2445</v>
      </c>
      <c r="G866" t="s">
        <v>16</v>
      </c>
      <c r="H866" t="s">
        <v>34</v>
      </c>
    </row>
    <row r="867" spans="1:8" x14ac:dyDescent="0.25">
      <c r="A867" s="1">
        <v>45230</v>
      </c>
      <c r="B867" t="s">
        <v>33</v>
      </c>
      <c r="C867" t="s">
        <v>35</v>
      </c>
      <c r="D867" t="s">
        <v>36</v>
      </c>
      <c r="E867">
        <v>13</v>
      </c>
      <c r="F867" s="3">
        <v>10465</v>
      </c>
      <c r="G867" t="s">
        <v>39</v>
      </c>
      <c r="H867" t="s">
        <v>17</v>
      </c>
    </row>
    <row r="868" spans="1:8" x14ac:dyDescent="0.25">
      <c r="A868" s="1">
        <v>45438</v>
      </c>
      <c r="B868" t="s">
        <v>13</v>
      </c>
      <c r="C868" t="s">
        <v>14</v>
      </c>
      <c r="D868" t="s">
        <v>15</v>
      </c>
      <c r="E868">
        <v>10</v>
      </c>
      <c r="F868" s="3">
        <v>7960</v>
      </c>
      <c r="G868" t="s">
        <v>11</v>
      </c>
      <c r="H868" t="s">
        <v>43</v>
      </c>
    </row>
    <row r="869" spans="1:8" x14ac:dyDescent="0.25">
      <c r="A869" s="1">
        <v>45308</v>
      </c>
      <c r="B869" t="s">
        <v>29</v>
      </c>
      <c r="C869" t="s">
        <v>37</v>
      </c>
      <c r="D869" t="s">
        <v>15</v>
      </c>
      <c r="E869">
        <v>4</v>
      </c>
      <c r="F869" s="3">
        <v>7824</v>
      </c>
      <c r="G869" t="s">
        <v>27</v>
      </c>
      <c r="H869" t="s">
        <v>32</v>
      </c>
    </row>
    <row r="870" spans="1:8" x14ac:dyDescent="0.25">
      <c r="A870" s="1">
        <v>45418</v>
      </c>
      <c r="B870" t="s">
        <v>13</v>
      </c>
      <c r="C870" t="s">
        <v>9</v>
      </c>
      <c r="D870" t="s">
        <v>10</v>
      </c>
      <c r="E870">
        <v>15</v>
      </c>
      <c r="F870" s="3">
        <v>13875</v>
      </c>
      <c r="G870" t="s">
        <v>31</v>
      </c>
      <c r="H870" t="s">
        <v>23</v>
      </c>
    </row>
    <row r="871" spans="1:8" x14ac:dyDescent="0.25">
      <c r="A871" s="1">
        <v>45198</v>
      </c>
      <c r="B871" t="s">
        <v>24</v>
      </c>
      <c r="C871" t="s">
        <v>38</v>
      </c>
      <c r="D871" t="s">
        <v>22</v>
      </c>
      <c r="E871">
        <v>1</v>
      </c>
      <c r="F871" s="3">
        <v>1617</v>
      </c>
      <c r="G871" t="s">
        <v>39</v>
      </c>
      <c r="H871" t="s">
        <v>17</v>
      </c>
    </row>
    <row r="872" spans="1:8" x14ac:dyDescent="0.25">
      <c r="A872" s="1">
        <v>45584</v>
      </c>
      <c r="B872" t="s">
        <v>33</v>
      </c>
      <c r="C872" t="s">
        <v>41</v>
      </c>
      <c r="D872" t="s">
        <v>26</v>
      </c>
      <c r="E872">
        <v>11</v>
      </c>
      <c r="F872" s="3">
        <v>8789</v>
      </c>
      <c r="G872" t="s">
        <v>31</v>
      </c>
      <c r="H872" t="s">
        <v>32</v>
      </c>
    </row>
    <row r="873" spans="1:8" x14ac:dyDescent="0.25">
      <c r="A873" s="1">
        <v>45812</v>
      </c>
      <c r="B873" t="s">
        <v>18</v>
      </c>
      <c r="C873" t="s">
        <v>30</v>
      </c>
      <c r="D873" t="s">
        <v>15</v>
      </c>
      <c r="E873">
        <v>5</v>
      </c>
      <c r="F873" s="3">
        <v>3975</v>
      </c>
      <c r="G873" t="s">
        <v>11</v>
      </c>
      <c r="H873" t="s">
        <v>43</v>
      </c>
    </row>
    <row r="874" spans="1:8" x14ac:dyDescent="0.25">
      <c r="A874" s="1">
        <v>45507</v>
      </c>
      <c r="B874" t="s">
        <v>46</v>
      </c>
      <c r="C874" t="s">
        <v>35</v>
      </c>
      <c r="D874" t="s">
        <v>36</v>
      </c>
      <c r="E874">
        <v>8</v>
      </c>
      <c r="F874" s="3">
        <v>8032</v>
      </c>
      <c r="G874" t="s">
        <v>27</v>
      </c>
      <c r="H874" t="s">
        <v>23</v>
      </c>
    </row>
    <row r="875" spans="1:8" x14ac:dyDescent="0.25">
      <c r="A875" s="1">
        <v>45993</v>
      </c>
      <c r="B875" t="s">
        <v>42</v>
      </c>
      <c r="C875" t="s">
        <v>41</v>
      </c>
      <c r="D875" t="s">
        <v>26</v>
      </c>
      <c r="E875">
        <v>6</v>
      </c>
      <c r="F875" s="3">
        <v>4428</v>
      </c>
      <c r="G875" t="s">
        <v>27</v>
      </c>
      <c r="H875" t="s">
        <v>43</v>
      </c>
    </row>
    <row r="876" spans="1:8" x14ac:dyDescent="0.25">
      <c r="A876" s="1">
        <v>45578</v>
      </c>
      <c r="B876" t="s">
        <v>33</v>
      </c>
      <c r="C876" t="s">
        <v>21</v>
      </c>
      <c r="D876" t="s">
        <v>22</v>
      </c>
      <c r="E876">
        <v>20</v>
      </c>
      <c r="F876" s="3">
        <v>7020</v>
      </c>
      <c r="G876" t="s">
        <v>31</v>
      </c>
      <c r="H876" t="s">
        <v>12</v>
      </c>
    </row>
    <row r="877" spans="1:8" x14ac:dyDescent="0.25">
      <c r="A877" s="1">
        <v>45215</v>
      </c>
      <c r="B877" t="s">
        <v>33</v>
      </c>
      <c r="C877" t="s">
        <v>9</v>
      </c>
      <c r="D877" t="s">
        <v>10</v>
      </c>
      <c r="E877">
        <v>6</v>
      </c>
      <c r="F877" s="3">
        <v>1098</v>
      </c>
      <c r="G877" t="s">
        <v>39</v>
      </c>
      <c r="H877" t="s">
        <v>43</v>
      </c>
    </row>
    <row r="878" spans="1:8" x14ac:dyDescent="0.25">
      <c r="A878" s="1">
        <v>45740</v>
      </c>
      <c r="B878" t="s">
        <v>48</v>
      </c>
      <c r="C878" t="s">
        <v>35</v>
      </c>
      <c r="D878" t="s">
        <v>36</v>
      </c>
      <c r="E878">
        <v>6</v>
      </c>
      <c r="F878" s="3">
        <v>10686</v>
      </c>
      <c r="G878" t="s">
        <v>31</v>
      </c>
      <c r="H878" t="s">
        <v>34</v>
      </c>
    </row>
    <row r="879" spans="1:8" x14ac:dyDescent="0.25">
      <c r="A879" s="1">
        <v>45789</v>
      </c>
      <c r="B879" t="s">
        <v>13</v>
      </c>
      <c r="C879" t="s">
        <v>35</v>
      </c>
      <c r="D879" t="s">
        <v>36</v>
      </c>
      <c r="E879">
        <v>10</v>
      </c>
      <c r="F879" s="3">
        <v>10550</v>
      </c>
      <c r="G879" t="s">
        <v>31</v>
      </c>
      <c r="H879" t="s">
        <v>28</v>
      </c>
    </row>
    <row r="880" spans="1:8" x14ac:dyDescent="0.25">
      <c r="A880" s="1">
        <v>44966</v>
      </c>
      <c r="B880" t="s">
        <v>47</v>
      </c>
      <c r="C880" t="s">
        <v>44</v>
      </c>
      <c r="D880" t="s">
        <v>45</v>
      </c>
      <c r="E880">
        <v>13</v>
      </c>
      <c r="F880" s="3">
        <v>10985</v>
      </c>
      <c r="G880" t="s">
        <v>16</v>
      </c>
      <c r="H880" t="s">
        <v>32</v>
      </c>
    </row>
    <row r="881" spans="1:8" x14ac:dyDescent="0.25">
      <c r="A881" s="1">
        <v>44946</v>
      </c>
      <c r="B881" t="s">
        <v>29</v>
      </c>
      <c r="C881" t="s">
        <v>25</v>
      </c>
      <c r="D881" t="s">
        <v>26</v>
      </c>
      <c r="E881">
        <v>20</v>
      </c>
      <c r="F881" s="3">
        <v>22540</v>
      </c>
      <c r="G881" t="s">
        <v>16</v>
      </c>
      <c r="H881" t="s">
        <v>32</v>
      </c>
    </row>
    <row r="882" spans="1:8" x14ac:dyDescent="0.25">
      <c r="A882" s="1">
        <v>44935</v>
      </c>
      <c r="B882" t="s">
        <v>29</v>
      </c>
      <c r="C882" t="s">
        <v>9</v>
      </c>
      <c r="D882" t="s">
        <v>10</v>
      </c>
      <c r="E882">
        <v>13</v>
      </c>
      <c r="F882" s="3">
        <v>8684</v>
      </c>
      <c r="G882" t="s">
        <v>16</v>
      </c>
      <c r="H882" t="s">
        <v>17</v>
      </c>
    </row>
    <row r="883" spans="1:8" x14ac:dyDescent="0.25">
      <c r="A883" s="1">
        <v>45736</v>
      </c>
      <c r="B883" t="s">
        <v>48</v>
      </c>
      <c r="C883" t="s">
        <v>9</v>
      </c>
      <c r="D883" t="s">
        <v>10</v>
      </c>
      <c r="E883">
        <v>1</v>
      </c>
      <c r="F883" s="3">
        <v>1935</v>
      </c>
      <c r="G883" t="s">
        <v>27</v>
      </c>
      <c r="H883" t="s">
        <v>19</v>
      </c>
    </row>
    <row r="884" spans="1:8" x14ac:dyDescent="0.25">
      <c r="A884" s="1">
        <v>44937</v>
      </c>
      <c r="B884" t="s">
        <v>29</v>
      </c>
      <c r="C884" t="s">
        <v>44</v>
      </c>
      <c r="D884" t="s">
        <v>45</v>
      </c>
      <c r="E884">
        <v>1</v>
      </c>
      <c r="F884" s="3">
        <v>1475</v>
      </c>
      <c r="G884" t="s">
        <v>31</v>
      </c>
      <c r="H884" t="s">
        <v>34</v>
      </c>
    </row>
    <row r="885" spans="1:8" x14ac:dyDescent="0.25">
      <c r="A885" s="1">
        <v>45386</v>
      </c>
      <c r="B885" t="s">
        <v>40</v>
      </c>
      <c r="C885" t="s">
        <v>44</v>
      </c>
      <c r="D885" t="s">
        <v>45</v>
      </c>
      <c r="E885">
        <v>6</v>
      </c>
      <c r="F885" s="3">
        <v>528</v>
      </c>
      <c r="G885" t="s">
        <v>31</v>
      </c>
      <c r="H885" t="s">
        <v>32</v>
      </c>
    </row>
    <row r="886" spans="1:8" x14ac:dyDescent="0.25">
      <c r="A886" s="1">
        <v>45912</v>
      </c>
      <c r="B886" t="s">
        <v>24</v>
      </c>
      <c r="C886" t="s">
        <v>44</v>
      </c>
      <c r="D886" t="s">
        <v>45</v>
      </c>
      <c r="E886">
        <v>3</v>
      </c>
      <c r="F886" s="3">
        <v>4470</v>
      </c>
      <c r="G886" t="s">
        <v>11</v>
      </c>
      <c r="H886" t="s">
        <v>19</v>
      </c>
    </row>
    <row r="887" spans="1:8" x14ac:dyDescent="0.25">
      <c r="A887" s="1">
        <v>45741</v>
      </c>
      <c r="B887" t="s">
        <v>48</v>
      </c>
      <c r="C887" t="s">
        <v>25</v>
      </c>
      <c r="D887" t="s">
        <v>26</v>
      </c>
      <c r="E887">
        <v>11</v>
      </c>
      <c r="F887" s="3">
        <v>17611</v>
      </c>
      <c r="G887" t="s">
        <v>39</v>
      </c>
      <c r="H887" t="s">
        <v>28</v>
      </c>
    </row>
    <row r="888" spans="1:8" x14ac:dyDescent="0.25">
      <c r="A888" s="1">
        <v>45585</v>
      </c>
      <c r="B888" t="s">
        <v>33</v>
      </c>
      <c r="C888" t="s">
        <v>35</v>
      </c>
      <c r="D888" t="s">
        <v>36</v>
      </c>
      <c r="E888">
        <v>12</v>
      </c>
      <c r="F888" s="3">
        <v>9180</v>
      </c>
      <c r="G888" t="s">
        <v>39</v>
      </c>
      <c r="H888" t="s">
        <v>12</v>
      </c>
    </row>
    <row r="889" spans="1:8" x14ac:dyDescent="0.25">
      <c r="A889" s="1">
        <v>45176</v>
      </c>
      <c r="B889" t="s">
        <v>24</v>
      </c>
      <c r="C889" t="s">
        <v>38</v>
      </c>
      <c r="D889" t="s">
        <v>22</v>
      </c>
      <c r="E889">
        <v>3</v>
      </c>
      <c r="F889" s="3">
        <v>3156</v>
      </c>
      <c r="G889" t="s">
        <v>39</v>
      </c>
      <c r="H889" t="s">
        <v>19</v>
      </c>
    </row>
    <row r="890" spans="1:8" x14ac:dyDescent="0.25">
      <c r="A890" s="1">
        <v>45478</v>
      </c>
      <c r="B890" t="s">
        <v>20</v>
      </c>
      <c r="C890" t="s">
        <v>38</v>
      </c>
      <c r="D890" t="s">
        <v>22</v>
      </c>
      <c r="E890">
        <v>10</v>
      </c>
      <c r="F890" s="3">
        <v>16010</v>
      </c>
      <c r="G890" t="s">
        <v>27</v>
      </c>
      <c r="H890" t="s">
        <v>17</v>
      </c>
    </row>
    <row r="891" spans="1:8" x14ac:dyDescent="0.25">
      <c r="A891" s="1">
        <v>45688</v>
      </c>
      <c r="B891" t="s">
        <v>29</v>
      </c>
      <c r="C891" t="s">
        <v>25</v>
      </c>
      <c r="D891" t="s">
        <v>26</v>
      </c>
      <c r="E891">
        <v>20</v>
      </c>
      <c r="F891" s="3">
        <v>31900</v>
      </c>
      <c r="G891" t="s">
        <v>31</v>
      </c>
      <c r="H891" t="s">
        <v>12</v>
      </c>
    </row>
    <row r="892" spans="1:8" x14ac:dyDescent="0.25">
      <c r="A892" s="1">
        <v>45180</v>
      </c>
      <c r="B892" t="s">
        <v>24</v>
      </c>
      <c r="C892" t="s">
        <v>9</v>
      </c>
      <c r="D892" t="s">
        <v>10</v>
      </c>
      <c r="E892">
        <v>16</v>
      </c>
      <c r="F892" s="3">
        <v>31824</v>
      </c>
      <c r="G892" t="s">
        <v>27</v>
      </c>
      <c r="H892" t="s">
        <v>12</v>
      </c>
    </row>
    <row r="893" spans="1:8" x14ac:dyDescent="0.25">
      <c r="A893" s="1">
        <v>45987</v>
      </c>
      <c r="B893" t="s">
        <v>8</v>
      </c>
      <c r="C893" t="s">
        <v>44</v>
      </c>
      <c r="D893" t="s">
        <v>45</v>
      </c>
      <c r="E893">
        <v>18</v>
      </c>
      <c r="F893" s="3">
        <v>12816</v>
      </c>
      <c r="G893" t="s">
        <v>39</v>
      </c>
      <c r="H893" t="s">
        <v>23</v>
      </c>
    </row>
    <row r="894" spans="1:8" x14ac:dyDescent="0.25">
      <c r="A894" s="1">
        <v>45525</v>
      </c>
      <c r="B894" t="s">
        <v>46</v>
      </c>
      <c r="C894" t="s">
        <v>35</v>
      </c>
      <c r="D894" t="s">
        <v>36</v>
      </c>
      <c r="E894">
        <v>7</v>
      </c>
      <c r="F894" s="3">
        <v>12705</v>
      </c>
      <c r="G894" t="s">
        <v>11</v>
      </c>
      <c r="H894" t="s">
        <v>12</v>
      </c>
    </row>
    <row r="895" spans="1:8" x14ac:dyDescent="0.25">
      <c r="A895" s="1">
        <v>45347</v>
      </c>
      <c r="B895" t="s">
        <v>47</v>
      </c>
      <c r="C895" t="s">
        <v>30</v>
      </c>
      <c r="D895" t="s">
        <v>15</v>
      </c>
      <c r="E895">
        <v>12</v>
      </c>
      <c r="F895" s="3">
        <v>10152</v>
      </c>
      <c r="G895" t="s">
        <v>11</v>
      </c>
      <c r="H895" t="s">
        <v>12</v>
      </c>
    </row>
    <row r="896" spans="1:8" x14ac:dyDescent="0.25">
      <c r="A896" s="1">
        <v>45307</v>
      </c>
      <c r="B896" t="s">
        <v>29</v>
      </c>
      <c r="C896" t="s">
        <v>21</v>
      </c>
      <c r="D896" t="s">
        <v>22</v>
      </c>
      <c r="E896">
        <v>12</v>
      </c>
      <c r="F896" s="3">
        <v>7464</v>
      </c>
      <c r="G896" t="s">
        <v>16</v>
      </c>
      <c r="H896" t="s">
        <v>19</v>
      </c>
    </row>
    <row r="897" spans="1:8" x14ac:dyDescent="0.25">
      <c r="A897" s="1">
        <v>45984</v>
      </c>
      <c r="B897" t="s">
        <v>8</v>
      </c>
      <c r="C897" t="s">
        <v>41</v>
      </c>
      <c r="D897" t="s">
        <v>26</v>
      </c>
      <c r="E897">
        <v>4</v>
      </c>
      <c r="F897" s="3">
        <v>4704</v>
      </c>
      <c r="G897" t="s">
        <v>27</v>
      </c>
      <c r="H897" t="s">
        <v>19</v>
      </c>
    </row>
    <row r="898" spans="1:8" x14ac:dyDescent="0.25">
      <c r="A898" s="1">
        <v>45168</v>
      </c>
      <c r="B898" t="s">
        <v>46</v>
      </c>
      <c r="C898" t="s">
        <v>30</v>
      </c>
      <c r="D898" t="s">
        <v>15</v>
      </c>
      <c r="E898">
        <v>15</v>
      </c>
      <c r="F898" s="3">
        <v>13200</v>
      </c>
      <c r="G898" t="s">
        <v>16</v>
      </c>
      <c r="H898" t="s">
        <v>43</v>
      </c>
    </row>
    <row r="899" spans="1:8" x14ac:dyDescent="0.25">
      <c r="A899" s="1">
        <v>45720</v>
      </c>
      <c r="B899" t="s">
        <v>48</v>
      </c>
      <c r="C899" t="s">
        <v>21</v>
      </c>
      <c r="D899" t="s">
        <v>22</v>
      </c>
      <c r="E899">
        <v>20</v>
      </c>
      <c r="F899" s="3">
        <v>39880</v>
      </c>
      <c r="G899" t="s">
        <v>39</v>
      </c>
      <c r="H899" t="s">
        <v>43</v>
      </c>
    </row>
    <row r="900" spans="1:8" x14ac:dyDescent="0.25">
      <c r="A900" s="1">
        <v>45962</v>
      </c>
      <c r="B900" t="s">
        <v>8</v>
      </c>
      <c r="C900" t="s">
        <v>35</v>
      </c>
      <c r="D900" t="s">
        <v>36</v>
      </c>
      <c r="E900">
        <v>8</v>
      </c>
      <c r="F900" s="3">
        <v>9336</v>
      </c>
      <c r="G900" t="s">
        <v>11</v>
      </c>
      <c r="H900" t="s">
        <v>19</v>
      </c>
    </row>
    <row r="901" spans="1:8" x14ac:dyDescent="0.25">
      <c r="A901" s="1">
        <v>45497</v>
      </c>
      <c r="B901" t="s">
        <v>20</v>
      </c>
      <c r="C901" t="s">
        <v>38</v>
      </c>
      <c r="D901" t="s">
        <v>22</v>
      </c>
      <c r="E901">
        <v>4</v>
      </c>
      <c r="F901" s="3">
        <v>7264</v>
      </c>
      <c r="G901" t="s">
        <v>39</v>
      </c>
      <c r="H901" t="s">
        <v>28</v>
      </c>
    </row>
    <row r="902" spans="1:8" x14ac:dyDescent="0.25">
      <c r="A902" s="1">
        <v>45684</v>
      </c>
      <c r="B902" t="s">
        <v>29</v>
      </c>
      <c r="C902" t="s">
        <v>30</v>
      </c>
      <c r="D902" t="s">
        <v>15</v>
      </c>
      <c r="E902">
        <v>19</v>
      </c>
      <c r="F902" s="3">
        <v>5662</v>
      </c>
      <c r="G902" t="s">
        <v>31</v>
      </c>
      <c r="H902" t="s">
        <v>28</v>
      </c>
    </row>
    <row r="903" spans="1:8" x14ac:dyDescent="0.25">
      <c r="A903" s="1">
        <v>45332</v>
      </c>
      <c r="B903" t="s">
        <v>47</v>
      </c>
      <c r="C903" t="s">
        <v>25</v>
      </c>
      <c r="D903" t="s">
        <v>26</v>
      </c>
      <c r="E903">
        <v>5</v>
      </c>
      <c r="F903" s="3">
        <v>2360</v>
      </c>
      <c r="G903" t="s">
        <v>39</v>
      </c>
      <c r="H903" t="s">
        <v>12</v>
      </c>
    </row>
    <row r="904" spans="1:8" x14ac:dyDescent="0.25">
      <c r="A904" s="1">
        <v>45166</v>
      </c>
      <c r="B904" t="s">
        <v>46</v>
      </c>
      <c r="C904" t="s">
        <v>9</v>
      </c>
      <c r="D904" t="s">
        <v>10</v>
      </c>
      <c r="E904">
        <v>15</v>
      </c>
      <c r="F904" s="3">
        <v>28005</v>
      </c>
      <c r="G904" t="s">
        <v>31</v>
      </c>
      <c r="H904" t="s">
        <v>12</v>
      </c>
    </row>
    <row r="905" spans="1:8" x14ac:dyDescent="0.25">
      <c r="A905" s="1">
        <v>45138</v>
      </c>
      <c r="B905" t="s">
        <v>20</v>
      </c>
      <c r="C905" t="s">
        <v>41</v>
      </c>
      <c r="D905" t="s">
        <v>26</v>
      </c>
      <c r="E905">
        <v>10</v>
      </c>
      <c r="F905" s="3">
        <v>2870</v>
      </c>
      <c r="G905" t="s">
        <v>31</v>
      </c>
      <c r="H905" t="s">
        <v>32</v>
      </c>
    </row>
    <row r="906" spans="1:8" x14ac:dyDescent="0.25">
      <c r="A906" s="1">
        <v>45709</v>
      </c>
      <c r="B906" t="s">
        <v>47</v>
      </c>
      <c r="C906" t="s">
        <v>35</v>
      </c>
      <c r="D906" t="s">
        <v>36</v>
      </c>
      <c r="E906">
        <v>17</v>
      </c>
      <c r="F906" s="3">
        <v>24293</v>
      </c>
      <c r="G906" t="s">
        <v>16</v>
      </c>
      <c r="H906" t="s">
        <v>23</v>
      </c>
    </row>
    <row r="907" spans="1:8" x14ac:dyDescent="0.25">
      <c r="A907" s="1">
        <v>45069</v>
      </c>
      <c r="B907" t="s">
        <v>13</v>
      </c>
      <c r="C907" t="s">
        <v>38</v>
      </c>
      <c r="D907" t="s">
        <v>22</v>
      </c>
      <c r="E907">
        <v>11</v>
      </c>
      <c r="F907" s="3">
        <v>9075</v>
      </c>
      <c r="G907" t="s">
        <v>39</v>
      </c>
      <c r="H907" t="s">
        <v>34</v>
      </c>
    </row>
    <row r="908" spans="1:8" x14ac:dyDescent="0.25">
      <c r="A908" s="1">
        <v>45106</v>
      </c>
      <c r="B908" t="s">
        <v>18</v>
      </c>
      <c r="C908" t="s">
        <v>30</v>
      </c>
      <c r="D908" t="s">
        <v>15</v>
      </c>
      <c r="E908">
        <v>11</v>
      </c>
      <c r="F908" s="3">
        <v>19008</v>
      </c>
      <c r="G908" t="s">
        <v>16</v>
      </c>
      <c r="H908" t="s">
        <v>43</v>
      </c>
    </row>
    <row r="909" spans="1:8" x14ac:dyDescent="0.25">
      <c r="A909" s="1">
        <v>45935</v>
      </c>
      <c r="B909" t="s">
        <v>33</v>
      </c>
      <c r="C909" t="s">
        <v>44</v>
      </c>
      <c r="D909" t="s">
        <v>45</v>
      </c>
      <c r="E909">
        <v>20</v>
      </c>
      <c r="F909" s="3">
        <v>12200</v>
      </c>
      <c r="G909" t="s">
        <v>11</v>
      </c>
      <c r="H909" t="s">
        <v>23</v>
      </c>
    </row>
    <row r="910" spans="1:8" x14ac:dyDescent="0.25">
      <c r="A910" s="1">
        <v>45179</v>
      </c>
      <c r="B910" t="s">
        <v>24</v>
      </c>
      <c r="C910" t="s">
        <v>37</v>
      </c>
      <c r="D910" t="s">
        <v>15</v>
      </c>
      <c r="E910">
        <v>5</v>
      </c>
      <c r="F910" s="3">
        <v>5015</v>
      </c>
      <c r="G910" t="s">
        <v>11</v>
      </c>
      <c r="H910" t="s">
        <v>12</v>
      </c>
    </row>
    <row r="911" spans="1:8" x14ac:dyDescent="0.25">
      <c r="A911" s="1">
        <v>45090</v>
      </c>
      <c r="B911" t="s">
        <v>18</v>
      </c>
      <c r="C911" t="s">
        <v>37</v>
      </c>
      <c r="D911" t="s">
        <v>15</v>
      </c>
      <c r="E911">
        <v>3</v>
      </c>
      <c r="F911" s="3">
        <v>2271</v>
      </c>
      <c r="G911" t="s">
        <v>27</v>
      </c>
      <c r="H911" t="s">
        <v>43</v>
      </c>
    </row>
    <row r="912" spans="1:8" x14ac:dyDescent="0.25">
      <c r="A912" s="1">
        <v>45257</v>
      </c>
      <c r="B912" t="s">
        <v>8</v>
      </c>
      <c r="C912" t="s">
        <v>21</v>
      </c>
      <c r="D912" t="s">
        <v>22</v>
      </c>
      <c r="E912">
        <v>15</v>
      </c>
      <c r="F912" s="3">
        <v>20970</v>
      </c>
      <c r="G912" t="s">
        <v>39</v>
      </c>
      <c r="H912" t="s">
        <v>19</v>
      </c>
    </row>
    <row r="913" spans="1:8" x14ac:dyDescent="0.25">
      <c r="A913" s="1">
        <v>45883</v>
      </c>
      <c r="B913" t="s">
        <v>46</v>
      </c>
      <c r="C913" t="s">
        <v>37</v>
      </c>
      <c r="D913" t="s">
        <v>15</v>
      </c>
      <c r="E913">
        <v>13</v>
      </c>
      <c r="F913" s="3">
        <v>16003</v>
      </c>
      <c r="G913" t="s">
        <v>16</v>
      </c>
      <c r="H913" t="s">
        <v>34</v>
      </c>
    </row>
    <row r="914" spans="1:8" x14ac:dyDescent="0.25">
      <c r="A914" s="1">
        <v>45372</v>
      </c>
      <c r="B914" t="s">
        <v>48</v>
      </c>
      <c r="C914" t="s">
        <v>35</v>
      </c>
      <c r="D914" t="s">
        <v>36</v>
      </c>
      <c r="E914">
        <v>16</v>
      </c>
      <c r="F914" s="3">
        <v>20784</v>
      </c>
      <c r="G914" t="s">
        <v>11</v>
      </c>
      <c r="H914" t="s">
        <v>12</v>
      </c>
    </row>
    <row r="915" spans="1:8" x14ac:dyDescent="0.25">
      <c r="A915" s="1">
        <v>45281</v>
      </c>
      <c r="B915" t="s">
        <v>42</v>
      </c>
      <c r="C915" t="s">
        <v>37</v>
      </c>
      <c r="D915" t="s">
        <v>15</v>
      </c>
      <c r="E915">
        <v>18</v>
      </c>
      <c r="F915" s="3">
        <v>6606</v>
      </c>
      <c r="G915" t="s">
        <v>27</v>
      </c>
      <c r="H915" t="s">
        <v>34</v>
      </c>
    </row>
    <row r="916" spans="1:8" x14ac:dyDescent="0.25">
      <c r="A916" s="1">
        <v>45197</v>
      </c>
      <c r="B916" t="s">
        <v>24</v>
      </c>
      <c r="C916" t="s">
        <v>30</v>
      </c>
      <c r="D916" t="s">
        <v>15</v>
      </c>
      <c r="E916">
        <v>6</v>
      </c>
      <c r="F916" s="3">
        <v>2376</v>
      </c>
      <c r="G916" t="s">
        <v>31</v>
      </c>
      <c r="H916" t="s">
        <v>23</v>
      </c>
    </row>
    <row r="917" spans="1:8" x14ac:dyDescent="0.25">
      <c r="A917" s="1">
        <v>45571</v>
      </c>
      <c r="B917" t="s">
        <v>33</v>
      </c>
      <c r="C917" t="s">
        <v>9</v>
      </c>
      <c r="D917" t="s">
        <v>10</v>
      </c>
      <c r="E917">
        <v>9</v>
      </c>
      <c r="F917" s="3">
        <v>6174</v>
      </c>
      <c r="G917" t="s">
        <v>16</v>
      </c>
      <c r="H917" t="s">
        <v>23</v>
      </c>
    </row>
    <row r="918" spans="1:8" x14ac:dyDescent="0.25">
      <c r="A918" s="1">
        <v>45415</v>
      </c>
      <c r="B918" t="s">
        <v>13</v>
      </c>
      <c r="C918" t="s">
        <v>9</v>
      </c>
      <c r="D918" t="s">
        <v>10</v>
      </c>
      <c r="E918">
        <v>9</v>
      </c>
      <c r="F918" s="3">
        <v>12294</v>
      </c>
      <c r="G918" t="s">
        <v>16</v>
      </c>
      <c r="H918" t="s">
        <v>28</v>
      </c>
    </row>
    <row r="919" spans="1:8" x14ac:dyDescent="0.25">
      <c r="A919" s="1">
        <v>45641</v>
      </c>
      <c r="B919" t="s">
        <v>42</v>
      </c>
      <c r="C919" t="s">
        <v>44</v>
      </c>
      <c r="D919" t="s">
        <v>45</v>
      </c>
      <c r="E919">
        <v>5</v>
      </c>
      <c r="F919" s="3">
        <v>6015</v>
      </c>
      <c r="G919" t="s">
        <v>16</v>
      </c>
      <c r="H919" t="s">
        <v>28</v>
      </c>
    </row>
    <row r="920" spans="1:8" x14ac:dyDescent="0.25">
      <c r="A920" s="1">
        <v>45638</v>
      </c>
      <c r="B920" t="s">
        <v>42</v>
      </c>
      <c r="C920" t="s">
        <v>14</v>
      </c>
      <c r="D920" t="s">
        <v>15</v>
      </c>
      <c r="E920">
        <v>13</v>
      </c>
      <c r="F920" s="3">
        <v>22802</v>
      </c>
      <c r="G920" t="s">
        <v>16</v>
      </c>
      <c r="H920" t="s">
        <v>19</v>
      </c>
    </row>
    <row r="921" spans="1:8" x14ac:dyDescent="0.25">
      <c r="A921" s="1">
        <v>45753</v>
      </c>
      <c r="B921" t="s">
        <v>40</v>
      </c>
      <c r="C921" t="s">
        <v>38</v>
      </c>
      <c r="D921" t="s">
        <v>22</v>
      </c>
      <c r="E921">
        <v>1</v>
      </c>
      <c r="F921" s="3">
        <v>373</v>
      </c>
      <c r="G921" t="s">
        <v>11</v>
      </c>
      <c r="H921" t="s">
        <v>17</v>
      </c>
    </row>
    <row r="922" spans="1:8" x14ac:dyDescent="0.25">
      <c r="A922" s="1">
        <v>45675</v>
      </c>
      <c r="B922" t="s">
        <v>29</v>
      </c>
      <c r="C922" t="s">
        <v>14</v>
      </c>
      <c r="D922" t="s">
        <v>15</v>
      </c>
      <c r="E922">
        <v>4</v>
      </c>
      <c r="F922" s="3">
        <v>1236</v>
      </c>
      <c r="G922" t="s">
        <v>16</v>
      </c>
      <c r="H922" t="s">
        <v>12</v>
      </c>
    </row>
    <row r="923" spans="1:8" x14ac:dyDescent="0.25">
      <c r="A923" s="1">
        <v>45040</v>
      </c>
      <c r="B923" t="s">
        <v>40</v>
      </c>
      <c r="C923" t="s">
        <v>25</v>
      </c>
      <c r="D923" t="s">
        <v>26</v>
      </c>
      <c r="E923">
        <v>9</v>
      </c>
      <c r="F923" s="3">
        <v>16641</v>
      </c>
      <c r="G923" t="s">
        <v>16</v>
      </c>
      <c r="H923" t="s">
        <v>34</v>
      </c>
    </row>
    <row r="924" spans="1:8" x14ac:dyDescent="0.25">
      <c r="A924" s="1">
        <v>45961</v>
      </c>
      <c r="B924" t="s">
        <v>33</v>
      </c>
      <c r="C924" t="s">
        <v>25</v>
      </c>
      <c r="D924" t="s">
        <v>26</v>
      </c>
      <c r="E924">
        <v>17</v>
      </c>
      <c r="F924" s="3">
        <v>10591</v>
      </c>
      <c r="G924" t="s">
        <v>31</v>
      </c>
      <c r="H924" t="s">
        <v>34</v>
      </c>
    </row>
    <row r="925" spans="1:8" x14ac:dyDescent="0.25">
      <c r="A925" s="1">
        <v>45246</v>
      </c>
      <c r="B925" t="s">
        <v>8</v>
      </c>
      <c r="C925" t="s">
        <v>37</v>
      </c>
      <c r="D925" t="s">
        <v>15</v>
      </c>
      <c r="E925">
        <v>16</v>
      </c>
      <c r="F925" s="3">
        <v>12832</v>
      </c>
      <c r="G925" t="s">
        <v>27</v>
      </c>
      <c r="H925" t="s">
        <v>32</v>
      </c>
    </row>
    <row r="926" spans="1:8" x14ac:dyDescent="0.25">
      <c r="A926" s="1">
        <v>45610</v>
      </c>
      <c r="B926" t="s">
        <v>8</v>
      </c>
      <c r="C926" t="s">
        <v>30</v>
      </c>
      <c r="D926" t="s">
        <v>15</v>
      </c>
      <c r="E926">
        <v>8</v>
      </c>
      <c r="F926" s="3">
        <v>2008</v>
      </c>
      <c r="G926" t="s">
        <v>31</v>
      </c>
      <c r="H926" t="s">
        <v>19</v>
      </c>
    </row>
    <row r="927" spans="1:8" x14ac:dyDescent="0.25">
      <c r="A927" s="1">
        <v>45365</v>
      </c>
      <c r="B927" t="s">
        <v>48</v>
      </c>
      <c r="C927" t="s">
        <v>38</v>
      </c>
      <c r="D927" t="s">
        <v>22</v>
      </c>
      <c r="E927">
        <v>18</v>
      </c>
      <c r="F927" s="3">
        <v>12150</v>
      </c>
      <c r="G927" t="s">
        <v>11</v>
      </c>
      <c r="H927" t="s">
        <v>17</v>
      </c>
    </row>
    <row r="928" spans="1:8" x14ac:dyDescent="0.25">
      <c r="A928" s="1">
        <v>45601</v>
      </c>
      <c r="B928" t="s">
        <v>8</v>
      </c>
      <c r="C928" t="s">
        <v>35</v>
      </c>
      <c r="D928" t="s">
        <v>36</v>
      </c>
      <c r="E928">
        <v>6</v>
      </c>
      <c r="F928" s="3">
        <v>7386</v>
      </c>
      <c r="G928" t="s">
        <v>16</v>
      </c>
      <c r="H928" t="s">
        <v>12</v>
      </c>
    </row>
    <row r="929" spans="1:8" x14ac:dyDescent="0.25">
      <c r="A929" s="1">
        <v>45245</v>
      </c>
      <c r="B929" t="s">
        <v>8</v>
      </c>
      <c r="C929" t="s">
        <v>44</v>
      </c>
      <c r="D929" t="s">
        <v>45</v>
      </c>
      <c r="E929">
        <v>6</v>
      </c>
      <c r="F929" s="3">
        <v>6714</v>
      </c>
      <c r="G929" t="s">
        <v>39</v>
      </c>
      <c r="H929" t="s">
        <v>28</v>
      </c>
    </row>
    <row r="930" spans="1:8" x14ac:dyDescent="0.25">
      <c r="A930" s="1">
        <v>45236</v>
      </c>
      <c r="B930" t="s">
        <v>8</v>
      </c>
      <c r="C930" t="s">
        <v>30</v>
      </c>
      <c r="D930" t="s">
        <v>15</v>
      </c>
      <c r="E930">
        <v>1</v>
      </c>
      <c r="F930" s="3">
        <v>1733</v>
      </c>
      <c r="G930" t="s">
        <v>39</v>
      </c>
      <c r="H930" t="s">
        <v>17</v>
      </c>
    </row>
    <row r="931" spans="1:8" x14ac:dyDescent="0.25">
      <c r="A931" s="1">
        <v>45403</v>
      </c>
      <c r="B931" t="s">
        <v>40</v>
      </c>
      <c r="C931" t="s">
        <v>30</v>
      </c>
      <c r="D931" t="s">
        <v>15</v>
      </c>
      <c r="E931">
        <v>5</v>
      </c>
      <c r="F931" s="3">
        <v>1265</v>
      </c>
      <c r="G931" t="s">
        <v>39</v>
      </c>
      <c r="H931" t="s">
        <v>19</v>
      </c>
    </row>
    <row r="932" spans="1:8" x14ac:dyDescent="0.25">
      <c r="A932" s="1">
        <v>45756</v>
      </c>
      <c r="B932" t="s">
        <v>40</v>
      </c>
      <c r="C932" t="s">
        <v>44</v>
      </c>
      <c r="D932" t="s">
        <v>45</v>
      </c>
      <c r="E932">
        <v>8</v>
      </c>
      <c r="F932" s="3">
        <v>5528</v>
      </c>
      <c r="G932" t="s">
        <v>16</v>
      </c>
      <c r="H932" t="s">
        <v>32</v>
      </c>
    </row>
    <row r="933" spans="1:8" x14ac:dyDescent="0.25">
      <c r="A933" s="1">
        <v>45450</v>
      </c>
      <c r="B933" t="s">
        <v>18</v>
      </c>
      <c r="C933" t="s">
        <v>35</v>
      </c>
      <c r="D933" t="s">
        <v>36</v>
      </c>
      <c r="E933">
        <v>10</v>
      </c>
      <c r="F933" s="3">
        <v>13830</v>
      </c>
      <c r="G933" t="s">
        <v>27</v>
      </c>
      <c r="H933" t="s">
        <v>28</v>
      </c>
    </row>
    <row r="934" spans="1:8" x14ac:dyDescent="0.25">
      <c r="A934" s="1">
        <v>45157</v>
      </c>
      <c r="B934" t="s">
        <v>46</v>
      </c>
      <c r="C934" t="s">
        <v>44</v>
      </c>
      <c r="D934" t="s">
        <v>45</v>
      </c>
      <c r="E934">
        <v>11</v>
      </c>
      <c r="F934" s="3">
        <v>880</v>
      </c>
      <c r="G934" t="s">
        <v>11</v>
      </c>
      <c r="H934" t="s">
        <v>34</v>
      </c>
    </row>
    <row r="935" spans="1:8" x14ac:dyDescent="0.25">
      <c r="A935" s="1">
        <v>45877</v>
      </c>
      <c r="B935" t="s">
        <v>46</v>
      </c>
      <c r="C935" t="s">
        <v>14</v>
      </c>
      <c r="D935" t="s">
        <v>15</v>
      </c>
      <c r="E935">
        <v>1</v>
      </c>
      <c r="F935" s="3">
        <v>658</v>
      </c>
      <c r="G935" t="s">
        <v>39</v>
      </c>
      <c r="H935" t="s">
        <v>23</v>
      </c>
    </row>
    <row r="936" spans="1:8" x14ac:dyDescent="0.25">
      <c r="A936" s="1">
        <v>45506</v>
      </c>
      <c r="B936" t="s">
        <v>46</v>
      </c>
      <c r="C936" t="s">
        <v>35</v>
      </c>
      <c r="D936" t="s">
        <v>36</v>
      </c>
      <c r="E936">
        <v>14</v>
      </c>
      <c r="F936" s="3">
        <v>21196</v>
      </c>
      <c r="G936" t="s">
        <v>39</v>
      </c>
      <c r="H936" t="s">
        <v>12</v>
      </c>
    </row>
    <row r="937" spans="1:8" x14ac:dyDescent="0.25">
      <c r="A937" s="1">
        <v>45406</v>
      </c>
      <c r="B937" t="s">
        <v>40</v>
      </c>
      <c r="C937" t="s">
        <v>21</v>
      </c>
      <c r="D937" t="s">
        <v>22</v>
      </c>
      <c r="E937">
        <v>14</v>
      </c>
      <c r="F937" s="3">
        <v>23786</v>
      </c>
      <c r="G937" t="s">
        <v>39</v>
      </c>
      <c r="H937" t="s">
        <v>23</v>
      </c>
    </row>
    <row r="938" spans="1:8" x14ac:dyDescent="0.25">
      <c r="A938" s="1">
        <v>45697</v>
      </c>
      <c r="B938" t="s">
        <v>47</v>
      </c>
      <c r="C938" t="s">
        <v>37</v>
      </c>
      <c r="D938" t="s">
        <v>15</v>
      </c>
      <c r="E938">
        <v>14</v>
      </c>
      <c r="F938" s="3">
        <v>27524</v>
      </c>
      <c r="G938" t="s">
        <v>31</v>
      </c>
      <c r="H938" t="s">
        <v>43</v>
      </c>
    </row>
    <row r="939" spans="1:8" x14ac:dyDescent="0.25">
      <c r="A939" s="1">
        <v>45841</v>
      </c>
      <c r="B939" t="s">
        <v>20</v>
      </c>
      <c r="C939" t="s">
        <v>9</v>
      </c>
      <c r="D939" t="s">
        <v>10</v>
      </c>
      <c r="E939">
        <v>19</v>
      </c>
      <c r="F939" s="3">
        <v>34770</v>
      </c>
      <c r="G939" t="s">
        <v>11</v>
      </c>
      <c r="H939" t="s">
        <v>32</v>
      </c>
    </row>
    <row r="940" spans="1:8" x14ac:dyDescent="0.25">
      <c r="A940" s="1">
        <v>45156</v>
      </c>
      <c r="B940" t="s">
        <v>46</v>
      </c>
      <c r="C940" t="s">
        <v>41</v>
      </c>
      <c r="D940" t="s">
        <v>26</v>
      </c>
      <c r="E940">
        <v>11</v>
      </c>
      <c r="F940" s="3">
        <v>15587</v>
      </c>
      <c r="G940" t="s">
        <v>39</v>
      </c>
      <c r="H940" t="s">
        <v>23</v>
      </c>
    </row>
    <row r="941" spans="1:8" x14ac:dyDescent="0.25">
      <c r="A941" s="1">
        <v>45169</v>
      </c>
      <c r="B941" t="s">
        <v>46</v>
      </c>
      <c r="C941" t="s">
        <v>35</v>
      </c>
      <c r="D941" t="s">
        <v>36</v>
      </c>
      <c r="E941">
        <v>19</v>
      </c>
      <c r="F941" s="3">
        <v>10583</v>
      </c>
      <c r="G941" t="s">
        <v>27</v>
      </c>
      <c r="H941" t="s">
        <v>28</v>
      </c>
    </row>
    <row r="942" spans="1:8" x14ac:dyDescent="0.25">
      <c r="A942" s="1">
        <v>45987</v>
      </c>
      <c r="B942" t="s">
        <v>8</v>
      </c>
      <c r="C942" t="s">
        <v>38</v>
      </c>
      <c r="D942" t="s">
        <v>22</v>
      </c>
      <c r="E942">
        <v>6</v>
      </c>
      <c r="F942" s="3">
        <v>5970</v>
      </c>
      <c r="G942" t="s">
        <v>31</v>
      </c>
      <c r="H942" t="s">
        <v>34</v>
      </c>
    </row>
    <row r="943" spans="1:8" x14ac:dyDescent="0.25">
      <c r="A943" s="1">
        <v>45826</v>
      </c>
      <c r="B943" t="s">
        <v>18</v>
      </c>
      <c r="C943" t="s">
        <v>35</v>
      </c>
      <c r="D943" t="s">
        <v>36</v>
      </c>
      <c r="E943">
        <v>20</v>
      </c>
      <c r="F943" s="3">
        <v>28820</v>
      </c>
      <c r="G943" t="s">
        <v>39</v>
      </c>
      <c r="H943" t="s">
        <v>34</v>
      </c>
    </row>
    <row r="944" spans="1:8" x14ac:dyDescent="0.25">
      <c r="A944" s="1">
        <v>45104</v>
      </c>
      <c r="B944" t="s">
        <v>18</v>
      </c>
      <c r="C944" t="s">
        <v>25</v>
      </c>
      <c r="D944" t="s">
        <v>26</v>
      </c>
      <c r="E944">
        <v>10</v>
      </c>
      <c r="F944" s="3">
        <v>19870</v>
      </c>
      <c r="G944" t="s">
        <v>27</v>
      </c>
      <c r="H944" t="s">
        <v>43</v>
      </c>
    </row>
    <row r="945" spans="1:8" x14ac:dyDescent="0.25">
      <c r="A945" s="1">
        <v>45701</v>
      </c>
      <c r="B945" t="s">
        <v>47</v>
      </c>
      <c r="C945" t="s">
        <v>38</v>
      </c>
      <c r="D945" t="s">
        <v>22</v>
      </c>
      <c r="E945">
        <v>3</v>
      </c>
      <c r="F945" s="3">
        <v>666</v>
      </c>
      <c r="G945" t="s">
        <v>27</v>
      </c>
      <c r="H945" t="s">
        <v>34</v>
      </c>
    </row>
    <row r="946" spans="1:8" x14ac:dyDescent="0.25">
      <c r="A946" s="1">
        <v>46011</v>
      </c>
      <c r="B946" t="s">
        <v>42</v>
      </c>
      <c r="C946" t="s">
        <v>37</v>
      </c>
      <c r="D946" t="s">
        <v>15</v>
      </c>
      <c r="E946">
        <v>7</v>
      </c>
      <c r="F946" s="3">
        <v>6615</v>
      </c>
      <c r="G946" t="s">
        <v>16</v>
      </c>
      <c r="H946" t="s">
        <v>23</v>
      </c>
    </row>
    <row r="947" spans="1:8" x14ac:dyDescent="0.25">
      <c r="A947" s="1">
        <v>45720</v>
      </c>
      <c r="B947" t="s">
        <v>48</v>
      </c>
      <c r="C947" t="s">
        <v>30</v>
      </c>
      <c r="D947" t="s">
        <v>15</v>
      </c>
      <c r="E947">
        <v>20</v>
      </c>
      <c r="F947" s="3">
        <v>38600</v>
      </c>
      <c r="G947" t="s">
        <v>39</v>
      </c>
      <c r="H947" t="s">
        <v>19</v>
      </c>
    </row>
    <row r="948" spans="1:8" x14ac:dyDescent="0.25">
      <c r="A948" s="1">
        <v>45383</v>
      </c>
      <c r="B948" t="s">
        <v>40</v>
      </c>
      <c r="C948" t="s">
        <v>14</v>
      </c>
      <c r="D948" t="s">
        <v>15</v>
      </c>
      <c r="E948">
        <v>17</v>
      </c>
      <c r="F948" s="3">
        <v>24004</v>
      </c>
      <c r="G948" t="s">
        <v>11</v>
      </c>
      <c r="H948" t="s">
        <v>28</v>
      </c>
    </row>
    <row r="949" spans="1:8" x14ac:dyDescent="0.25">
      <c r="A949" s="1">
        <v>44973</v>
      </c>
      <c r="B949" t="s">
        <v>47</v>
      </c>
      <c r="C949" t="s">
        <v>21</v>
      </c>
      <c r="D949" t="s">
        <v>22</v>
      </c>
      <c r="E949">
        <v>4</v>
      </c>
      <c r="F949" s="3">
        <v>5316</v>
      </c>
      <c r="G949" t="s">
        <v>31</v>
      </c>
      <c r="H949" t="s">
        <v>43</v>
      </c>
    </row>
    <row r="950" spans="1:8" x14ac:dyDescent="0.25">
      <c r="A950" s="1">
        <v>45247</v>
      </c>
      <c r="B950" t="s">
        <v>8</v>
      </c>
      <c r="C950" t="s">
        <v>37</v>
      </c>
      <c r="D950" t="s">
        <v>15</v>
      </c>
      <c r="E950">
        <v>6</v>
      </c>
      <c r="F950" s="3">
        <v>10128</v>
      </c>
      <c r="G950" t="s">
        <v>11</v>
      </c>
      <c r="H950" t="s">
        <v>23</v>
      </c>
    </row>
    <row r="951" spans="1:8" x14ac:dyDescent="0.25">
      <c r="A951" s="1">
        <v>45912</v>
      </c>
      <c r="B951" t="s">
        <v>24</v>
      </c>
      <c r="C951" t="s">
        <v>37</v>
      </c>
      <c r="D951" t="s">
        <v>15</v>
      </c>
      <c r="E951">
        <v>4</v>
      </c>
      <c r="F951" s="3">
        <v>2520</v>
      </c>
      <c r="G951" t="s">
        <v>39</v>
      </c>
      <c r="H951" t="s">
        <v>34</v>
      </c>
    </row>
    <row r="952" spans="1:8" x14ac:dyDescent="0.25">
      <c r="A952" s="1">
        <v>45124</v>
      </c>
      <c r="B952" t="s">
        <v>20</v>
      </c>
      <c r="C952" t="s">
        <v>25</v>
      </c>
      <c r="D952" t="s">
        <v>26</v>
      </c>
      <c r="E952">
        <v>10</v>
      </c>
      <c r="F952" s="3">
        <v>12010</v>
      </c>
      <c r="G952" t="s">
        <v>27</v>
      </c>
      <c r="H952" t="s">
        <v>23</v>
      </c>
    </row>
    <row r="953" spans="1:8" x14ac:dyDescent="0.25">
      <c r="A953" s="1">
        <v>45957</v>
      </c>
      <c r="B953" t="s">
        <v>33</v>
      </c>
      <c r="C953" t="s">
        <v>30</v>
      </c>
      <c r="D953" t="s">
        <v>15</v>
      </c>
      <c r="E953">
        <v>2</v>
      </c>
      <c r="F953" s="3">
        <v>3966</v>
      </c>
      <c r="G953" t="s">
        <v>11</v>
      </c>
      <c r="H953" t="s">
        <v>17</v>
      </c>
    </row>
    <row r="954" spans="1:8" x14ac:dyDescent="0.25">
      <c r="A954" s="1">
        <v>45225</v>
      </c>
      <c r="B954" t="s">
        <v>33</v>
      </c>
      <c r="C954" t="s">
        <v>37</v>
      </c>
      <c r="D954" t="s">
        <v>15</v>
      </c>
      <c r="E954">
        <v>8</v>
      </c>
      <c r="F954" s="3">
        <v>13664</v>
      </c>
      <c r="G954" t="s">
        <v>27</v>
      </c>
      <c r="H954" t="s">
        <v>32</v>
      </c>
    </row>
    <row r="955" spans="1:8" x14ac:dyDescent="0.25">
      <c r="A955" s="1">
        <v>45628</v>
      </c>
      <c r="B955" t="s">
        <v>42</v>
      </c>
      <c r="C955" t="s">
        <v>38</v>
      </c>
      <c r="D955" t="s">
        <v>22</v>
      </c>
      <c r="E955">
        <v>13</v>
      </c>
      <c r="F955" s="3">
        <v>24921</v>
      </c>
      <c r="G955" t="s">
        <v>39</v>
      </c>
      <c r="H955" t="s">
        <v>32</v>
      </c>
    </row>
    <row r="956" spans="1:8" x14ac:dyDescent="0.25">
      <c r="A956" s="1">
        <v>45204</v>
      </c>
      <c r="B956" t="s">
        <v>33</v>
      </c>
      <c r="C956" t="s">
        <v>37</v>
      </c>
      <c r="D956" t="s">
        <v>15</v>
      </c>
      <c r="E956">
        <v>15</v>
      </c>
      <c r="F956" s="3">
        <v>25650</v>
      </c>
      <c r="G956" t="s">
        <v>39</v>
      </c>
      <c r="H956" t="s">
        <v>17</v>
      </c>
    </row>
    <row r="957" spans="1:8" x14ac:dyDescent="0.25">
      <c r="A957" s="1">
        <v>45655</v>
      </c>
      <c r="B957" t="s">
        <v>42</v>
      </c>
      <c r="C957" t="s">
        <v>30</v>
      </c>
      <c r="D957" t="s">
        <v>15</v>
      </c>
      <c r="E957">
        <v>7</v>
      </c>
      <c r="F957" s="3">
        <v>6685</v>
      </c>
      <c r="G957" t="s">
        <v>27</v>
      </c>
      <c r="H957" t="s">
        <v>43</v>
      </c>
    </row>
    <row r="958" spans="1:8" x14ac:dyDescent="0.25">
      <c r="A958" s="1">
        <v>45396</v>
      </c>
      <c r="B958" t="s">
        <v>40</v>
      </c>
      <c r="C958" t="s">
        <v>35</v>
      </c>
      <c r="D958" t="s">
        <v>36</v>
      </c>
      <c r="E958">
        <v>15</v>
      </c>
      <c r="F958" s="3">
        <v>17235</v>
      </c>
      <c r="G958" t="s">
        <v>27</v>
      </c>
      <c r="H958" t="s">
        <v>23</v>
      </c>
    </row>
    <row r="959" spans="1:8" x14ac:dyDescent="0.25">
      <c r="A959" s="1">
        <v>45723</v>
      </c>
      <c r="B959" t="s">
        <v>48</v>
      </c>
      <c r="C959" t="s">
        <v>30</v>
      </c>
      <c r="D959" t="s">
        <v>15</v>
      </c>
      <c r="E959">
        <v>17</v>
      </c>
      <c r="F959" s="3">
        <v>9299</v>
      </c>
      <c r="G959" t="s">
        <v>11</v>
      </c>
      <c r="H959" t="s">
        <v>32</v>
      </c>
    </row>
    <row r="960" spans="1:8" x14ac:dyDescent="0.25">
      <c r="A960" s="1">
        <v>45351</v>
      </c>
      <c r="B960" t="s">
        <v>47</v>
      </c>
      <c r="C960" t="s">
        <v>9</v>
      </c>
      <c r="D960" t="s">
        <v>10</v>
      </c>
      <c r="E960">
        <v>8</v>
      </c>
      <c r="F960" s="3">
        <v>5912</v>
      </c>
      <c r="G960" t="s">
        <v>39</v>
      </c>
      <c r="H960" t="s">
        <v>28</v>
      </c>
    </row>
    <row r="961" spans="1:8" x14ac:dyDescent="0.25">
      <c r="A961" s="1">
        <v>45816</v>
      </c>
      <c r="B961" t="s">
        <v>18</v>
      </c>
      <c r="C961" t="s">
        <v>38</v>
      </c>
      <c r="D961" t="s">
        <v>22</v>
      </c>
      <c r="E961">
        <v>4</v>
      </c>
      <c r="F961" s="3">
        <v>1212</v>
      </c>
      <c r="G961" t="s">
        <v>31</v>
      </c>
      <c r="H961" t="s">
        <v>12</v>
      </c>
    </row>
    <row r="962" spans="1:8" x14ac:dyDescent="0.25">
      <c r="A962" s="1">
        <v>45959</v>
      </c>
      <c r="B962" t="s">
        <v>33</v>
      </c>
      <c r="C962" t="s">
        <v>21</v>
      </c>
      <c r="D962" t="s">
        <v>22</v>
      </c>
      <c r="E962">
        <v>18</v>
      </c>
      <c r="F962" s="3">
        <v>15570</v>
      </c>
      <c r="G962" t="s">
        <v>31</v>
      </c>
      <c r="H962" t="s">
        <v>34</v>
      </c>
    </row>
    <row r="963" spans="1:8" x14ac:dyDescent="0.25">
      <c r="A963" s="1">
        <v>45185</v>
      </c>
      <c r="B963" t="s">
        <v>24</v>
      </c>
      <c r="C963" t="s">
        <v>41</v>
      </c>
      <c r="D963" t="s">
        <v>26</v>
      </c>
      <c r="E963">
        <v>19</v>
      </c>
      <c r="F963" s="3">
        <v>28690</v>
      </c>
      <c r="G963" t="s">
        <v>11</v>
      </c>
      <c r="H963" t="s">
        <v>12</v>
      </c>
    </row>
    <row r="964" spans="1:8" x14ac:dyDescent="0.25">
      <c r="A964" s="1">
        <v>45920</v>
      </c>
      <c r="B964" t="s">
        <v>24</v>
      </c>
      <c r="C964" t="s">
        <v>9</v>
      </c>
      <c r="D964" t="s">
        <v>10</v>
      </c>
      <c r="E964">
        <v>17</v>
      </c>
      <c r="F964" s="3">
        <v>16796</v>
      </c>
      <c r="G964" t="s">
        <v>16</v>
      </c>
      <c r="H964" t="s">
        <v>19</v>
      </c>
    </row>
    <row r="965" spans="1:8" x14ac:dyDescent="0.25">
      <c r="A965" s="1">
        <v>45418</v>
      </c>
      <c r="B965" t="s">
        <v>13</v>
      </c>
      <c r="C965" t="s">
        <v>21</v>
      </c>
      <c r="D965" t="s">
        <v>22</v>
      </c>
      <c r="E965">
        <v>20</v>
      </c>
      <c r="F965" s="3">
        <v>16700</v>
      </c>
      <c r="G965" t="s">
        <v>39</v>
      </c>
      <c r="H965" t="s">
        <v>23</v>
      </c>
    </row>
    <row r="966" spans="1:8" x14ac:dyDescent="0.25">
      <c r="A966" s="1">
        <v>45434</v>
      </c>
      <c r="B966" t="s">
        <v>13</v>
      </c>
      <c r="C966" t="s">
        <v>41</v>
      </c>
      <c r="D966" t="s">
        <v>26</v>
      </c>
      <c r="E966">
        <v>3</v>
      </c>
      <c r="F966" s="3">
        <v>3213</v>
      </c>
      <c r="G966" t="s">
        <v>31</v>
      </c>
      <c r="H966" t="s">
        <v>17</v>
      </c>
    </row>
    <row r="967" spans="1:8" x14ac:dyDescent="0.25">
      <c r="A967" s="1">
        <v>45520</v>
      </c>
      <c r="B967" t="s">
        <v>46</v>
      </c>
      <c r="C967" t="s">
        <v>21</v>
      </c>
      <c r="D967" t="s">
        <v>22</v>
      </c>
      <c r="E967">
        <v>8</v>
      </c>
      <c r="F967" s="3">
        <v>7736</v>
      </c>
      <c r="G967" t="s">
        <v>31</v>
      </c>
      <c r="H967" t="s">
        <v>28</v>
      </c>
    </row>
    <row r="968" spans="1:8" x14ac:dyDescent="0.25">
      <c r="A968" s="1">
        <v>45360</v>
      </c>
      <c r="B968" t="s">
        <v>48</v>
      </c>
      <c r="C968" t="s">
        <v>21</v>
      </c>
      <c r="D968" t="s">
        <v>22</v>
      </c>
      <c r="E968">
        <v>10</v>
      </c>
      <c r="F968" s="3">
        <v>16060</v>
      </c>
      <c r="G968" t="s">
        <v>16</v>
      </c>
      <c r="H968" t="s">
        <v>43</v>
      </c>
    </row>
    <row r="969" spans="1:8" x14ac:dyDescent="0.25">
      <c r="A969" s="1">
        <v>45106</v>
      </c>
      <c r="B969" t="s">
        <v>18</v>
      </c>
      <c r="C969" t="s">
        <v>21</v>
      </c>
      <c r="D969" t="s">
        <v>22</v>
      </c>
      <c r="E969">
        <v>8</v>
      </c>
      <c r="F969" s="3">
        <v>5808</v>
      </c>
      <c r="G969" t="s">
        <v>16</v>
      </c>
      <c r="H969" t="s">
        <v>23</v>
      </c>
    </row>
    <row r="970" spans="1:8" x14ac:dyDescent="0.25">
      <c r="A970" s="1">
        <v>45786</v>
      </c>
      <c r="B970" t="s">
        <v>13</v>
      </c>
      <c r="C970" t="s">
        <v>14</v>
      </c>
      <c r="D970" t="s">
        <v>15</v>
      </c>
      <c r="E970">
        <v>7</v>
      </c>
      <c r="F970" s="3">
        <v>4788</v>
      </c>
      <c r="G970" t="s">
        <v>31</v>
      </c>
      <c r="H970" t="s">
        <v>32</v>
      </c>
    </row>
    <row r="971" spans="1:8" x14ac:dyDescent="0.25">
      <c r="A971" s="1">
        <v>45421</v>
      </c>
      <c r="B971" t="s">
        <v>13</v>
      </c>
      <c r="C971" t="s">
        <v>14</v>
      </c>
      <c r="D971" t="s">
        <v>15</v>
      </c>
      <c r="E971">
        <v>19</v>
      </c>
      <c r="F971" s="3">
        <v>25726</v>
      </c>
      <c r="G971" t="s">
        <v>27</v>
      </c>
      <c r="H971" t="s">
        <v>34</v>
      </c>
    </row>
    <row r="972" spans="1:8" x14ac:dyDescent="0.25">
      <c r="A972" s="1">
        <v>45197</v>
      </c>
      <c r="B972" t="s">
        <v>24</v>
      </c>
      <c r="C972" t="s">
        <v>41</v>
      </c>
      <c r="D972" t="s">
        <v>26</v>
      </c>
      <c r="E972">
        <v>10</v>
      </c>
      <c r="F972" s="3">
        <v>16490</v>
      </c>
      <c r="G972" t="s">
        <v>39</v>
      </c>
      <c r="H972" t="s">
        <v>23</v>
      </c>
    </row>
    <row r="973" spans="1:8" x14ac:dyDescent="0.25">
      <c r="A973" s="1">
        <v>45843</v>
      </c>
      <c r="B973" t="s">
        <v>20</v>
      </c>
      <c r="C973" t="s">
        <v>35</v>
      </c>
      <c r="D973" t="s">
        <v>36</v>
      </c>
      <c r="E973">
        <v>5</v>
      </c>
      <c r="F973" s="3">
        <v>760</v>
      </c>
      <c r="G973" t="s">
        <v>27</v>
      </c>
      <c r="H973" t="s">
        <v>28</v>
      </c>
    </row>
    <row r="974" spans="1:8" x14ac:dyDescent="0.25">
      <c r="A974" s="1">
        <v>45239</v>
      </c>
      <c r="B974" t="s">
        <v>8</v>
      </c>
      <c r="C974" t="s">
        <v>25</v>
      </c>
      <c r="D974" t="s">
        <v>26</v>
      </c>
      <c r="E974">
        <v>12</v>
      </c>
      <c r="F974" s="3">
        <v>21372</v>
      </c>
      <c r="G974" t="s">
        <v>11</v>
      </c>
      <c r="H974" t="s">
        <v>19</v>
      </c>
    </row>
    <row r="975" spans="1:8" x14ac:dyDescent="0.25">
      <c r="A975" s="1">
        <v>45567</v>
      </c>
      <c r="B975" t="s">
        <v>33</v>
      </c>
      <c r="C975" t="s">
        <v>38</v>
      </c>
      <c r="D975" t="s">
        <v>22</v>
      </c>
      <c r="E975">
        <v>13</v>
      </c>
      <c r="F975" s="3">
        <v>10530</v>
      </c>
      <c r="G975" t="s">
        <v>27</v>
      </c>
      <c r="H975" t="s">
        <v>23</v>
      </c>
    </row>
    <row r="976" spans="1:8" x14ac:dyDescent="0.25">
      <c r="A976" s="1">
        <v>45937</v>
      </c>
      <c r="B976" t="s">
        <v>33</v>
      </c>
      <c r="C976" t="s">
        <v>9</v>
      </c>
      <c r="D976" t="s">
        <v>10</v>
      </c>
      <c r="E976">
        <v>16</v>
      </c>
      <c r="F976" s="3">
        <v>11024</v>
      </c>
      <c r="G976" t="s">
        <v>27</v>
      </c>
      <c r="H976" t="s">
        <v>32</v>
      </c>
    </row>
    <row r="977" spans="1:8" x14ac:dyDescent="0.25">
      <c r="A977" s="1">
        <v>45053</v>
      </c>
      <c r="B977" t="s">
        <v>13</v>
      </c>
      <c r="C977" t="s">
        <v>35</v>
      </c>
      <c r="D977" t="s">
        <v>36</v>
      </c>
      <c r="E977">
        <v>13</v>
      </c>
      <c r="F977" s="3">
        <v>4056</v>
      </c>
      <c r="G977" t="s">
        <v>16</v>
      </c>
      <c r="H977" t="s">
        <v>12</v>
      </c>
    </row>
    <row r="978" spans="1:8" x14ac:dyDescent="0.25">
      <c r="A978" s="1">
        <v>45663</v>
      </c>
      <c r="B978" t="s">
        <v>29</v>
      </c>
      <c r="C978" t="s">
        <v>25</v>
      </c>
      <c r="D978" t="s">
        <v>26</v>
      </c>
      <c r="E978">
        <v>12</v>
      </c>
      <c r="F978" s="3">
        <v>6948</v>
      </c>
      <c r="G978" t="s">
        <v>39</v>
      </c>
      <c r="H978" t="s">
        <v>32</v>
      </c>
    </row>
    <row r="979" spans="1:8" x14ac:dyDescent="0.25">
      <c r="A979" s="1">
        <v>45157</v>
      </c>
      <c r="B979" t="s">
        <v>46</v>
      </c>
      <c r="C979" t="s">
        <v>37</v>
      </c>
      <c r="D979" t="s">
        <v>15</v>
      </c>
      <c r="E979">
        <v>15</v>
      </c>
      <c r="F979" s="3">
        <v>23820</v>
      </c>
      <c r="G979" t="s">
        <v>39</v>
      </c>
      <c r="H979" t="s">
        <v>32</v>
      </c>
    </row>
    <row r="980" spans="1:8" x14ac:dyDescent="0.25">
      <c r="A980" s="1">
        <v>45176</v>
      </c>
      <c r="B980" t="s">
        <v>24</v>
      </c>
      <c r="C980" t="s">
        <v>25</v>
      </c>
      <c r="D980" t="s">
        <v>26</v>
      </c>
      <c r="E980">
        <v>14</v>
      </c>
      <c r="F980" s="3">
        <v>26894</v>
      </c>
      <c r="G980" t="s">
        <v>16</v>
      </c>
      <c r="H980" t="s">
        <v>12</v>
      </c>
    </row>
    <row r="981" spans="1:8" x14ac:dyDescent="0.25">
      <c r="A981" s="1">
        <v>44930</v>
      </c>
      <c r="B981" t="s">
        <v>29</v>
      </c>
      <c r="C981" t="s">
        <v>37</v>
      </c>
      <c r="D981" t="s">
        <v>15</v>
      </c>
      <c r="E981">
        <v>20</v>
      </c>
      <c r="F981" s="3">
        <v>34840</v>
      </c>
      <c r="G981" t="s">
        <v>16</v>
      </c>
      <c r="H981" t="s">
        <v>19</v>
      </c>
    </row>
    <row r="982" spans="1:8" x14ac:dyDescent="0.25">
      <c r="A982" s="1">
        <v>45426</v>
      </c>
      <c r="B982" t="s">
        <v>13</v>
      </c>
      <c r="C982" t="s">
        <v>38</v>
      </c>
      <c r="D982" t="s">
        <v>22</v>
      </c>
      <c r="E982">
        <v>16</v>
      </c>
      <c r="F982" s="3">
        <v>16416</v>
      </c>
      <c r="G982" t="s">
        <v>31</v>
      </c>
      <c r="H982" t="s">
        <v>19</v>
      </c>
    </row>
    <row r="983" spans="1:8" x14ac:dyDescent="0.25">
      <c r="A983" s="1">
        <v>45377</v>
      </c>
      <c r="B983" t="s">
        <v>48</v>
      </c>
      <c r="C983" t="s">
        <v>38</v>
      </c>
      <c r="D983" t="s">
        <v>22</v>
      </c>
      <c r="E983">
        <v>20</v>
      </c>
      <c r="F983" s="3">
        <v>37980</v>
      </c>
      <c r="G983" t="s">
        <v>31</v>
      </c>
      <c r="H983" t="s">
        <v>23</v>
      </c>
    </row>
    <row r="984" spans="1:8" x14ac:dyDescent="0.25">
      <c r="A984" s="1">
        <v>45335</v>
      </c>
      <c r="B984" t="s">
        <v>47</v>
      </c>
      <c r="C984" t="s">
        <v>44</v>
      </c>
      <c r="D984" t="s">
        <v>45</v>
      </c>
      <c r="E984">
        <v>14</v>
      </c>
      <c r="F984" s="3">
        <v>17402</v>
      </c>
      <c r="G984" t="s">
        <v>27</v>
      </c>
      <c r="H984" t="s">
        <v>43</v>
      </c>
    </row>
    <row r="985" spans="1:8" x14ac:dyDescent="0.25">
      <c r="A985" s="1">
        <v>45028</v>
      </c>
      <c r="B985" t="s">
        <v>40</v>
      </c>
      <c r="C985" t="s">
        <v>21</v>
      </c>
      <c r="D985" t="s">
        <v>22</v>
      </c>
      <c r="E985">
        <v>10</v>
      </c>
      <c r="F985" s="3">
        <v>18170</v>
      </c>
      <c r="G985" t="s">
        <v>11</v>
      </c>
      <c r="H985" t="s">
        <v>32</v>
      </c>
    </row>
    <row r="986" spans="1:8" x14ac:dyDescent="0.25">
      <c r="A986" s="1">
        <v>45499</v>
      </c>
      <c r="B986" t="s">
        <v>20</v>
      </c>
      <c r="C986" t="s">
        <v>30</v>
      </c>
      <c r="D986" t="s">
        <v>15</v>
      </c>
      <c r="E986">
        <v>8</v>
      </c>
      <c r="F986" s="3">
        <v>9832</v>
      </c>
      <c r="G986" t="s">
        <v>31</v>
      </c>
      <c r="H986" t="s">
        <v>28</v>
      </c>
    </row>
    <row r="987" spans="1:8" x14ac:dyDescent="0.25">
      <c r="A987" s="1">
        <v>45504</v>
      </c>
      <c r="B987" t="s">
        <v>20</v>
      </c>
      <c r="C987" t="s">
        <v>38</v>
      </c>
      <c r="D987" t="s">
        <v>22</v>
      </c>
      <c r="E987">
        <v>8</v>
      </c>
      <c r="F987" s="3">
        <v>11800</v>
      </c>
      <c r="G987" t="s">
        <v>31</v>
      </c>
      <c r="H987" t="s">
        <v>23</v>
      </c>
    </row>
    <row r="988" spans="1:8" x14ac:dyDescent="0.25">
      <c r="A988" s="1">
        <v>45860</v>
      </c>
      <c r="B988" t="s">
        <v>20</v>
      </c>
      <c r="C988" t="s">
        <v>14</v>
      </c>
      <c r="D988" t="s">
        <v>15</v>
      </c>
      <c r="E988">
        <v>1</v>
      </c>
      <c r="F988" s="3">
        <v>225</v>
      </c>
      <c r="G988" t="s">
        <v>39</v>
      </c>
      <c r="H988" t="s">
        <v>32</v>
      </c>
    </row>
    <row r="989" spans="1:8" x14ac:dyDescent="0.25">
      <c r="A989" s="1">
        <v>45858</v>
      </c>
      <c r="B989" t="s">
        <v>20</v>
      </c>
      <c r="C989" t="s">
        <v>41</v>
      </c>
      <c r="D989" t="s">
        <v>26</v>
      </c>
      <c r="E989">
        <v>3</v>
      </c>
      <c r="F989" s="3">
        <v>1014</v>
      </c>
      <c r="G989" t="s">
        <v>31</v>
      </c>
      <c r="H989" t="s">
        <v>17</v>
      </c>
    </row>
    <row r="990" spans="1:8" x14ac:dyDescent="0.25">
      <c r="A990" s="1">
        <v>45097</v>
      </c>
      <c r="B990" t="s">
        <v>18</v>
      </c>
      <c r="C990" t="s">
        <v>21</v>
      </c>
      <c r="D990" t="s">
        <v>22</v>
      </c>
      <c r="E990">
        <v>2</v>
      </c>
      <c r="F990" s="3">
        <v>3074</v>
      </c>
      <c r="G990" t="s">
        <v>11</v>
      </c>
      <c r="H990" t="s">
        <v>43</v>
      </c>
    </row>
    <row r="991" spans="1:8" x14ac:dyDescent="0.25">
      <c r="A991" s="1">
        <v>45336</v>
      </c>
      <c r="B991" t="s">
        <v>47</v>
      </c>
      <c r="C991" t="s">
        <v>14</v>
      </c>
      <c r="D991" t="s">
        <v>15</v>
      </c>
      <c r="E991">
        <v>18</v>
      </c>
      <c r="F991" s="3">
        <v>14490</v>
      </c>
      <c r="G991" t="s">
        <v>11</v>
      </c>
      <c r="H991" t="s">
        <v>12</v>
      </c>
    </row>
    <row r="992" spans="1:8" x14ac:dyDescent="0.25">
      <c r="A992" s="1">
        <v>45022</v>
      </c>
      <c r="B992" t="s">
        <v>40</v>
      </c>
      <c r="C992" t="s">
        <v>44</v>
      </c>
      <c r="D992" t="s">
        <v>45</v>
      </c>
      <c r="E992">
        <v>14</v>
      </c>
      <c r="F992" s="3">
        <v>20384</v>
      </c>
      <c r="G992" t="s">
        <v>39</v>
      </c>
      <c r="H992" t="s">
        <v>34</v>
      </c>
    </row>
    <row r="993" spans="1:8" x14ac:dyDescent="0.25">
      <c r="A993" s="1">
        <v>45143</v>
      </c>
      <c r="B993" t="s">
        <v>46</v>
      </c>
      <c r="C993" t="s">
        <v>14</v>
      </c>
      <c r="D993" t="s">
        <v>15</v>
      </c>
      <c r="E993">
        <v>4</v>
      </c>
      <c r="F993" s="3">
        <v>244</v>
      </c>
      <c r="G993" t="s">
        <v>16</v>
      </c>
      <c r="H993" t="s">
        <v>32</v>
      </c>
    </row>
    <row r="994" spans="1:8" x14ac:dyDescent="0.25">
      <c r="A994" s="1">
        <v>45393</v>
      </c>
      <c r="B994" t="s">
        <v>40</v>
      </c>
      <c r="C994" t="s">
        <v>35</v>
      </c>
      <c r="D994" t="s">
        <v>36</v>
      </c>
      <c r="E994">
        <v>19</v>
      </c>
      <c r="F994" s="3">
        <v>30248</v>
      </c>
      <c r="G994" t="s">
        <v>16</v>
      </c>
      <c r="H994" t="s">
        <v>28</v>
      </c>
    </row>
    <row r="995" spans="1:8" x14ac:dyDescent="0.25">
      <c r="A995" s="1">
        <v>45157</v>
      </c>
      <c r="B995" t="s">
        <v>46</v>
      </c>
      <c r="C995" t="s">
        <v>30</v>
      </c>
      <c r="D995" t="s">
        <v>15</v>
      </c>
      <c r="E995">
        <v>6</v>
      </c>
      <c r="F995" s="3">
        <v>3114</v>
      </c>
      <c r="G995" t="s">
        <v>16</v>
      </c>
      <c r="H995" t="s">
        <v>32</v>
      </c>
    </row>
    <row r="996" spans="1:8" x14ac:dyDescent="0.25">
      <c r="A996" s="1">
        <v>45019</v>
      </c>
      <c r="B996" t="s">
        <v>40</v>
      </c>
      <c r="C996" t="s">
        <v>37</v>
      </c>
      <c r="D996" t="s">
        <v>15</v>
      </c>
      <c r="E996">
        <v>2</v>
      </c>
      <c r="F996" s="3">
        <v>1742</v>
      </c>
      <c r="G996" t="s">
        <v>31</v>
      </c>
      <c r="H996" t="s">
        <v>23</v>
      </c>
    </row>
    <row r="997" spans="1:8" x14ac:dyDescent="0.25">
      <c r="A997" s="1">
        <v>45240</v>
      </c>
      <c r="B997" t="s">
        <v>8</v>
      </c>
      <c r="C997" t="s">
        <v>44</v>
      </c>
      <c r="D997" t="s">
        <v>45</v>
      </c>
      <c r="E997">
        <v>18</v>
      </c>
      <c r="F997" s="3">
        <v>30672</v>
      </c>
      <c r="G997" t="s">
        <v>31</v>
      </c>
      <c r="H997" t="s">
        <v>23</v>
      </c>
    </row>
    <row r="998" spans="1:8" x14ac:dyDescent="0.25">
      <c r="A998" s="1">
        <v>45303</v>
      </c>
      <c r="B998" t="s">
        <v>29</v>
      </c>
      <c r="C998" t="s">
        <v>37</v>
      </c>
      <c r="D998" t="s">
        <v>15</v>
      </c>
      <c r="E998">
        <v>8</v>
      </c>
      <c r="F998" s="3">
        <v>3152</v>
      </c>
      <c r="G998" t="s">
        <v>39</v>
      </c>
      <c r="H998" t="s">
        <v>17</v>
      </c>
    </row>
    <row r="999" spans="1:8" x14ac:dyDescent="0.25">
      <c r="A999" s="1">
        <v>44992</v>
      </c>
      <c r="B999" t="s">
        <v>48</v>
      </c>
      <c r="C999" t="s">
        <v>41</v>
      </c>
      <c r="D999" t="s">
        <v>26</v>
      </c>
      <c r="E999">
        <v>19</v>
      </c>
      <c r="F999" s="3">
        <v>22857</v>
      </c>
      <c r="G999" t="s">
        <v>11</v>
      </c>
      <c r="H999" t="s">
        <v>19</v>
      </c>
    </row>
    <row r="1000" spans="1:8" x14ac:dyDescent="0.25">
      <c r="A1000" s="1">
        <v>45514</v>
      </c>
      <c r="B1000" t="s">
        <v>46</v>
      </c>
      <c r="C1000" t="s">
        <v>41</v>
      </c>
      <c r="D1000" t="s">
        <v>26</v>
      </c>
      <c r="E1000">
        <v>17</v>
      </c>
      <c r="F1000" s="3">
        <v>12121</v>
      </c>
      <c r="G1000" t="s">
        <v>39</v>
      </c>
      <c r="H1000" t="s">
        <v>28</v>
      </c>
    </row>
    <row r="1001" spans="1:8" x14ac:dyDescent="0.25">
      <c r="A1001" s="1">
        <v>45734</v>
      </c>
      <c r="B1001" t="s">
        <v>48</v>
      </c>
      <c r="C1001" t="s">
        <v>25</v>
      </c>
      <c r="D1001" t="s">
        <v>26</v>
      </c>
      <c r="E1001">
        <v>3</v>
      </c>
      <c r="F1001" s="3">
        <v>1950</v>
      </c>
      <c r="G1001" t="s">
        <v>39</v>
      </c>
      <c r="H1001" t="s">
        <v>43</v>
      </c>
    </row>
    <row r="1002" spans="1:8" x14ac:dyDescent="0.25">
      <c r="A1002" s="1">
        <v>45980</v>
      </c>
      <c r="B1002" t="s">
        <v>8</v>
      </c>
      <c r="C1002" t="s">
        <v>35</v>
      </c>
      <c r="D1002" t="s">
        <v>36</v>
      </c>
      <c r="E1002">
        <v>5</v>
      </c>
      <c r="F1002" s="3">
        <v>6430</v>
      </c>
      <c r="G1002" t="s">
        <v>11</v>
      </c>
      <c r="H1002" t="s">
        <v>19</v>
      </c>
    </row>
    <row r="1003" spans="1:8" x14ac:dyDescent="0.25">
      <c r="A1003" s="1">
        <v>45830</v>
      </c>
      <c r="B1003" t="s">
        <v>18</v>
      </c>
      <c r="C1003" t="s">
        <v>21</v>
      </c>
      <c r="D1003" t="s">
        <v>22</v>
      </c>
      <c r="E1003">
        <v>8</v>
      </c>
      <c r="F1003" s="3">
        <v>5296</v>
      </c>
      <c r="G1003" t="s">
        <v>16</v>
      </c>
      <c r="H1003" t="s">
        <v>19</v>
      </c>
    </row>
    <row r="1004" spans="1:8" x14ac:dyDescent="0.25">
      <c r="A1004" s="1">
        <v>45513</v>
      </c>
      <c r="B1004" t="s">
        <v>46</v>
      </c>
      <c r="C1004" t="s">
        <v>37</v>
      </c>
      <c r="D1004" t="s">
        <v>15</v>
      </c>
      <c r="E1004">
        <v>17</v>
      </c>
      <c r="F1004" s="3">
        <v>7548</v>
      </c>
      <c r="G1004" t="s">
        <v>11</v>
      </c>
      <c r="H1004" t="s">
        <v>28</v>
      </c>
    </row>
    <row r="1005" spans="1:8" x14ac:dyDescent="0.25">
      <c r="A1005" s="1">
        <v>45448</v>
      </c>
      <c r="B1005" t="s">
        <v>18</v>
      </c>
      <c r="C1005" t="s">
        <v>41</v>
      </c>
      <c r="D1005" t="s">
        <v>26</v>
      </c>
      <c r="E1005">
        <v>4</v>
      </c>
      <c r="F1005" s="3">
        <v>3016</v>
      </c>
      <c r="G1005" t="s">
        <v>39</v>
      </c>
      <c r="H1005" t="s">
        <v>23</v>
      </c>
    </row>
    <row r="1006" spans="1:8" x14ac:dyDescent="0.25">
      <c r="A1006" s="1">
        <v>45227</v>
      </c>
      <c r="B1006" t="s">
        <v>33</v>
      </c>
      <c r="C1006" t="s">
        <v>35</v>
      </c>
      <c r="D1006" t="s">
        <v>36</v>
      </c>
      <c r="E1006">
        <v>18</v>
      </c>
      <c r="F1006" s="3">
        <v>3078</v>
      </c>
      <c r="G1006" t="s">
        <v>16</v>
      </c>
      <c r="H1006" t="s">
        <v>34</v>
      </c>
    </row>
    <row r="1007" spans="1:8" x14ac:dyDescent="0.25">
      <c r="A1007" s="1">
        <v>45241</v>
      </c>
      <c r="B1007" t="s">
        <v>8</v>
      </c>
      <c r="C1007" t="s">
        <v>44</v>
      </c>
      <c r="D1007" t="s">
        <v>45</v>
      </c>
      <c r="E1007">
        <v>18</v>
      </c>
      <c r="F1007" s="3">
        <v>21906</v>
      </c>
      <c r="G1007" t="s">
        <v>11</v>
      </c>
      <c r="H1007" t="s">
        <v>28</v>
      </c>
    </row>
    <row r="1008" spans="1:8" x14ac:dyDescent="0.25">
      <c r="A1008" s="1">
        <v>45424</v>
      </c>
      <c r="B1008" t="s">
        <v>13</v>
      </c>
      <c r="C1008" t="s">
        <v>35</v>
      </c>
      <c r="D1008" t="s">
        <v>36</v>
      </c>
      <c r="E1008">
        <v>6</v>
      </c>
      <c r="F1008" s="3">
        <v>7110</v>
      </c>
      <c r="G1008" t="s">
        <v>31</v>
      </c>
      <c r="H1008" t="s">
        <v>32</v>
      </c>
    </row>
    <row r="1009" spans="1:8" x14ac:dyDescent="0.25">
      <c r="A1009" s="1">
        <v>45953</v>
      </c>
      <c r="B1009" t="s">
        <v>33</v>
      </c>
      <c r="C1009" t="s">
        <v>38</v>
      </c>
      <c r="D1009" t="s">
        <v>22</v>
      </c>
      <c r="E1009">
        <v>16</v>
      </c>
      <c r="F1009" s="3">
        <v>9648</v>
      </c>
      <c r="G1009" t="s">
        <v>11</v>
      </c>
      <c r="H1009" t="s">
        <v>43</v>
      </c>
    </row>
    <row r="1010" spans="1:8" x14ac:dyDescent="0.25">
      <c r="A1010" s="1">
        <v>45806</v>
      </c>
      <c r="B1010" t="s">
        <v>13</v>
      </c>
      <c r="C1010" t="s">
        <v>38</v>
      </c>
      <c r="D1010" t="s">
        <v>22</v>
      </c>
      <c r="E1010">
        <v>14</v>
      </c>
      <c r="F1010" s="3">
        <v>1624</v>
      </c>
      <c r="G1010" t="s">
        <v>27</v>
      </c>
      <c r="H1010" t="s">
        <v>23</v>
      </c>
    </row>
    <row r="1011" spans="1:8" x14ac:dyDescent="0.25">
      <c r="A1011" s="1">
        <v>45699</v>
      </c>
      <c r="B1011" t="s">
        <v>47</v>
      </c>
      <c r="C1011" t="s">
        <v>30</v>
      </c>
      <c r="D1011" t="s">
        <v>15</v>
      </c>
      <c r="E1011">
        <v>3</v>
      </c>
      <c r="F1011" s="3">
        <v>5049</v>
      </c>
      <c r="G1011" t="s">
        <v>27</v>
      </c>
      <c r="H1011" t="s">
        <v>19</v>
      </c>
    </row>
    <row r="1012" spans="1:8" x14ac:dyDescent="0.25">
      <c r="A1012" s="1">
        <v>45292</v>
      </c>
      <c r="B1012" t="s">
        <v>29</v>
      </c>
      <c r="C1012" t="s">
        <v>38</v>
      </c>
      <c r="D1012" t="s">
        <v>22</v>
      </c>
      <c r="E1012">
        <v>13</v>
      </c>
      <c r="F1012" s="3">
        <v>13728</v>
      </c>
      <c r="G1012" t="s">
        <v>16</v>
      </c>
      <c r="H1012" t="s">
        <v>43</v>
      </c>
    </row>
    <row r="1013" spans="1:8" x14ac:dyDescent="0.25">
      <c r="A1013" s="1">
        <v>45697</v>
      </c>
      <c r="B1013" t="s">
        <v>47</v>
      </c>
      <c r="C1013" t="s">
        <v>35</v>
      </c>
      <c r="D1013" t="s">
        <v>36</v>
      </c>
      <c r="E1013">
        <v>5</v>
      </c>
      <c r="F1013" s="3">
        <v>3915</v>
      </c>
      <c r="G1013" t="s">
        <v>31</v>
      </c>
      <c r="H1013" t="s">
        <v>34</v>
      </c>
    </row>
    <row r="1014" spans="1:8" x14ac:dyDescent="0.25">
      <c r="A1014" s="1">
        <v>45997</v>
      </c>
      <c r="B1014" t="s">
        <v>42</v>
      </c>
      <c r="C1014" t="s">
        <v>44</v>
      </c>
      <c r="D1014" t="s">
        <v>45</v>
      </c>
      <c r="E1014">
        <v>7</v>
      </c>
      <c r="F1014" s="3">
        <v>10374</v>
      </c>
      <c r="G1014" t="s">
        <v>27</v>
      </c>
      <c r="H1014" t="s">
        <v>32</v>
      </c>
    </row>
    <row r="1015" spans="1:8" x14ac:dyDescent="0.25">
      <c r="A1015" s="1">
        <v>45725</v>
      </c>
      <c r="B1015" t="s">
        <v>48</v>
      </c>
      <c r="C1015" t="s">
        <v>38</v>
      </c>
      <c r="D1015" t="s">
        <v>22</v>
      </c>
      <c r="E1015">
        <v>9</v>
      </c>
      <c r="F1015" s="3">
        <v>12537</v>
      </c>
      <c r="G1015" t="s">
        <v>39</v>
      </c>
      <c r="H1015" t="s">
        <v>23</v>
      </c>
    </row>
    <row r="1016" spans="1:8" x14ac:dyDescent="0.25">
      <c r="A1016" s="1">
        <v>45751</v>
      </c>
      <c r="B1016" t="s">
        <v>40</v>
      </c>
      <c r="C1016" t="s">
        <v>44</v>
      </c>
      <c r="D1016" t="s">
        <v>45</v>
      </c>
      <c r="E1016">
        <v>13</v>
      </c>
      <c r="F1016" s="3">
        <v>9945</v>
      </c>
      <c r="G1016" t="s">
        <v>31</v>
      </c>
      <c r="H1016" t="s">
        <v>19</v>
      </c>
    </row>
    <row r="1017" spans="1:8" x14ac:dyDescent="0.25">
      <c r="A1017" s="1">
        <v>45702</v>
      </c>
      <c r="B1017" t="s">
        <v>47</v>
      </c>
      <c r="C1017" t="s">
        <v>21</v>
      </c>
      <c r="D1017" t="s">
        <v>22</v>
      </c>
      <c r="E1017">
        <v>12</v>
      </c>
      <c r="F1017" s="3">
        <v>4812</v>
      </c>
      <c r="G1017" t="s">
        <v>16</v>
      </c>
      <c r="H1017" t="s">
        <v>28</v>
      </c>
    </row>
    <row r="1018" spans="1:8" x14ac:dyDescent="0.25">
      <c r="A1018" s="1">
        <v>45143</v>
      </c>
      <c r="B1018" t="s">
        <v>46</v>
      </c>
      <c r="C1018" t="s">
        <v>37</v>
      </c>
      <c r="D1018" t="s">
        <v>15</v>
      </c>
      <c r="E1018">
        <v>7</v>
      </c>
      <c r="F1018" s="3">
        <v>1519</v>
      </c>
      <c r="G1018" t="s">
        <v>16</v>
      </c>
      <c r="H1018" t="s">
        <v>34</v>
      </c>
    </row>
    <row r="1019" spans="1:8" x14ac:dyDescent="0.25">
      <c r="A1019" s="1">
        <v>45449</v>
      </c>
      <c r="B1019" t="s">
        <v>18</v>
      </c>
      <c r="C1019" t="s">
        <v>30</v>
      </c>
      <c r="D1019" t="s">
        <v>15</v>
      </c>
      <c r="E1019">
        <v>8</v>
      </c>
      <c r="F1019" s="3">
        <v>4752</v>
      </c>
      <c r="G1019" t="s">
        <v>31</v>
      </c>
      <c r="H1019" t="s">
        <v>43</v>
      </c>
    </row>
    <row r="1020" spans="1:8" x14ac:dyDescent="0.25">
      <c r="A1020" s="1">
        <v>45387</v>
      </c>
      <c r="B1020" t="s">
        <v>40</v>
      </c>
      <c r="C1020" t="s">
        <v>14</v>
      </c>
      <c r="D1020" t="s">
        <v>15</v>
      </c>
      <c r="E1020">
        <v>16</v>
      </c>
      <c r="F1020" s="3">
        <v>29728</v>
      </c>
      <c r="G1020" t="s">
        <v>27</v>
      </c>
      <c r="H1020" t="s">
        <v>12</v>
      </c>
    </row>
    <row r="1021" spans="1:8" x14ac:dyDescent="0.25">
      <c r="A1021" s="1">
        <v>45481</v>
      </c>
      <c r="B1021" t="s">
        <v>20</v>
      </c>
      <c r="C1021" t="s">
        <v>25</v>
      </c>
      <c r="D1021" t="s">
        <v>26</v>
      </c>
      <c r="E1021">
        <v>2</v>
      </c>
      <c r="F1021" s="3">
        <v>3606</v>
      </c>
      <c r="G1021" t="s">
        <v>16</v>
      </c>
      <c r="H1021" t="s">
        <v>12</v>
      </c>
    </row>
    <row r="1022" spans="1:8" x14ac:dyDescent="0.25">
      <c r="A1022" s="1">
        <v>45665</v>
      </c>
      <c r="B1022" t="s">
        <v>29</v>
      </c>
      <c r="C1022" t="s">
        <v>30</v>
      </c>
      <c r="D1022" t="s">
        <v>15</v>
      </c>
      <c r="E1022">
        <v>15</v>
      </c>
      <c r="F1022" s="3">
        <v>22650</v>
      </c>
      <c r="G1022" t="s">
        <v>31</v>
      </c>
      <c r="H1022" t="s">
        <v>19</v>
      </c>
    </row>
    <row r="1023" spans="1:8" x14ac:dyDescent="0.25">
      <c r="A1023" s="1">
        <v>45264</v>
      </c>
      <c r="B1023" t="s">
        <v>42</v>
      </c>
      <c r="C1023" t="s">
        <v>30</v>
      </c>
      <c r="D1023" t="s">
        <v>15</v>
      </c>
      <c r="E1023">
        <v>7</v>
      </c>
      <c r="F1023" s="3">
        <v>13426</v>
      </c>
      <c r="G1023" t="s">
        <v>39</v>
      </c>
      <c r="H1023" t="s">
        <v>43</v>
      </c>
    </row>
    <row r="1024" spans="1:8" x14ac:dyDescent="0.25">
      <c r="A1024" s="1">
        <v>45715</v>
      </c>
      <c r="B1024" t="s">
        <v>47</v>
      </c>
      <c r="C1024" t="s">
        <v>35</v>
      </c>
      <c r="D1024" t="s">
        <v>36</v>
      </c>
      <c r="E1024">
        <v>16</v>
      </c>
      <c r="F1024" s="3">
        <v>3376</v>
      </c>
      <c r="G1024" t="s">
        <v>16</v>
      </c>
      <c r="H1024" t="s">
        <v>19</v>
      </c>
    </row>
    <row r="1025" spans="1:8" x14ac:dyDescent="0.25">
      <c r="A1025" s="1">
        <v>45250</v>
      </c>
      <c r="B1025" t="s">
        <v>8</v>
      </c>
      <c r="C1025" t="s">
        <v>44</v>
      </c>
      <c r="D1025" t="s">
        <v>45</v>
      </c>
      <c r="E1025">
        <v>20</v>
      </c>
      <c r="F1025" s="3">
        <v>14420</v>
      </c>
      <c r="G1025" t="s">
        <v>31</v>
      </c>
      <c r="H1025" t="s">
        <v>17</v>
      </c>
    </row>
    <row r="1026" spans="1:8" x14ac:dyDescent="0.25">
      <c r="A1026" s="1">
        <v>45584</v>
      </c>
      <c r="B1026" t="s">
        <v>33</v>
      </c>
      <c r="C1026" t="s">
        <v>25</v>
      </c>
      <c r="D1026" t="s">
        <v>26</v>
      </c>
      <c r="E1026">
        <v>3</v>
      </c>
      <c r="F1026" s="3">
        <v>732</v>
      </c>
      <c r="G1026" t="s">
        <v>27</v>
      </c>
      <c r="H1026" t="s">
        <v>32</v>
      </c>
    </row>
    <row r="1027" spans="1:8" x14ac:dyDescent="0.25">
      <c r="A1027" s="1">
        <v>45499</v>
      </c>
      <c r="B1027" t="s">
        <v>20</v>
      </c>
      <c r="C1027" t="s">
        <v>38</v>
      </c>
      <c r="D1027" t="s">
        <v>22</v>
      </c>
      <c r="E1027">
        <v>17</v>
      </c>
      <c r="F1027" s="3">
        <v>15351</v>
      </c>
      <c r="G1027" t="s">
        <v>27</v>
      </c>
      <c r="H1027" t="s">
        <v>34</v>
      </c>
    </row>
    <row r="1028" spans="1:8" x14ac:dyDescent="0.25">
      <c r="A1028" s="1">
        <v>45164</v>
      </c>
      <c r="B1028" t="s">
        <v>46</v>
      </c>
      <c r="C1028" t="s">
        <v>44</v>
      </c>
      <c r="D1028" t="s">
        <v>45</v>
      </c>
      <c r="E1028">
        <v>7</v>
      </c>
      <c r="F1028" s="3">
        <v>8694</v>
      </c>
      <c r="G1028" t="s">
        <v>39</v>
      </c>
      <c r="H1028" t="s">
        <v>12</v>
      </c>
    </row>
    <row r="1029" spans="1:8" x14ac:dyDescent="0.25">
      <c r="A1029" s="1">
        <v>45134</v>
      </c>
      <c r="B1029" t="s">
        <v>20</v>
      </c>
      <c r="C1029" t="s">
        <v>30</v>
      </c>
      <c r="D1029" t="s">
        <v>15</v>
      </c>
      <c r="E1029">
        <v>10</v>
      </c>
      <c r="F1029" s="3">
        <v>13270</v>
      </c>
      <c r="G1029" t="s">
        <v>31</v>
      </c>
      <c r="H1029" t="s">
        <v>34</v>
      </c>
    </row>
    <row r="1030" spans="1:8" x14ac:dyDescent="0.25">
      <c r="A1030" s="1">
        <v>45859</v>
      </c>
      <c r="B1030" t="s">
        <v>20</v>
      </c>
      <c r="C1030" t="s">
        <v>37</v>
      </c>
      <c r="D1030" t="s">
        <v>15</v>
      </c>
      <c r="E1030">
        <v>3</v>
      </c>
      <c r="F1030" s="3">
        <v>4662</v>
      </c>
      <c r="G1030" t="s">
        <v>31</v>
      </c>
      <c r="H1030" t="s">
        <v>32</v>
      </c>
    </row>
    <row r="1031" spans="1:8" x14ac:dyDescent="0.25">
      <c r="A1031" s="1">
        <v>45939</v>
      </c>
      <c r="B1031" t="s">
        <v>33</v>
      </c>
      <c r="C1031" t="s">
        <v>21</v>
      </c>
      <c r="D1031" t="s">
        <v>22</v>
      </c>
      <c r="E1031">
        <v>2</v>
      </c>
      <c r="F1031" s="3">
        <v>1276</v>
      </c>
      <c r="G1031" t="s">
        <v>27</v>
      </c>
      <c r="H1031" t="s">
        <v>19</v>
      </c>
    </row>
    <row r="1032" spans="1:8" x14ac:dyDescent="0.25">
      <c r="A1032" s="1">
        <v>45106</v>
      </c>
      <c r="B1032" t="s">
        <v>18</v>
      </c>
      <c r="C1032" t="s">
        <v>38</v>
      </c>
      <c r="D1032" t="s">
        <v>22</v>
      </c>
      <c r="E1032">
        <v>15</v>
      </c>
      <c r="F1032" s="3">
        <v>19140</v>
      </c>
      <c r="G1032" t="s">
        <v>27</v>
      </c>
      <c r="H1032" t="s">
        <v>19</v>
      </c>
    </row>
    <row r="1033" spans="1:8" x14ac:dyDescent="0.25">
      <c r="A1033" s="1">
        <v>45656</v>
      </c>
      <c r="B1033" t="s">
        <v>42</v>
      </c>
      <c r="C1033" t="s">
        <v>35</v>
      </c>
      <c r="D1033" t="s">
        <v>36</v>
      </c>
      <c r="E1033">
        <v>9</v>
      </c>
      <c r="F1033" s="3">
        <v>12240</v>
      </c>
      <c r="G1033" t="s">
        <v>11</v>
      </c>
      <c r="H1033" t="s">
        <v>23</v>
      </c>
    </row>
    <row r="1034" spans="1:8" x14ac:dyDescent="0.25">
      <c r="A1034" s="1">
        <v>45856</v>
      </c>
      <c r="B1034" t="s">
        <v>20</v>
      </c>
      <c r="C1034" t="s">
        <v>44</v>
      </c>
      <c r="D1034" t="s">
        <v>45</v>
      </c>
      <c r="E1034">
        <v>17</v>
      </c>
      <c r="F1034" s="3">
        <v>22984</v>
      </c>
      <c r="G1034" t="s">
        <v>39</v>
      </c>
      <c r="H1034" t="s">
        <v>32</v>
      </c>
    </row>
    <row r="1035" spans="1:8" x14ac:dyDescent="0.25">
      <c r="A1035" s="1">
        <v>45254</v>
      </c>
      <c r="B1035" t="s">
        <v>8</v>
      </c>
      <c r="C1035" t="s">
        <v>44</v>
      </c>
      <c r="D1035" t="s">
        <v>45</v>
      </c>
      <c r="E1035">
        <v>2</v>
      </c>
      <c r="F1035" s="3">
        <v>3184</v>
      </c>
      <c r="G1035" t="s">
        <v>11</v>
      </c>
      <c r="H1035" t="s">
        <v>28</v>
      </c>
    </row>
    <row r="1036" spans="1:8" x14ac:dyDescent="0.25">
      <c r="A1036" s="1">
        <v>46017</v>
      </c>
      <c r="B1036" t="s">
        <v>42</v>
      </c>
      <c r="C1036" t="s">
        <v>21</v>
      </c>
      <c r="D1036" t="s">
        <v>22</v>
      </c>
      <c r="E1036">
        <v>10</v>
      </c>
      <c r="F1036" s="3">
        <v>660</v>
      </c>
      <c r="G1036" t="s">
        <v>11</v>
      </c>
      <c r="H1036" t="s">
        <v>32</v>
      </c>
    </row>
    <row r="1037" spans="1:8" x14ac:dyDescent="0.25">
      <c r="A1037" s="1">
        <v>46022</v>
      </c>
      <c r="B1037" t="s">
        <v>42</v>
      </c>
      <c r="C1037" t="s">
        <v>14</v>
      </c>
      <c r="D1037" t="s">
        <v>15</v>
      </c>
      <c r="E1037">
        <v>17</v>
      </c>
      <c r="F1037" s="3">
        <v>12189</v>
      </c>
      <c r="G1037" t="s">
        <v>39</v>
      </c>
      <c r="H1037" t="s">
        <v>28</v>
      </c>
    </row>
    <row r="1038" spans="1:8" x14ac:dyDescent="0.25">
      <c r="A1038" s="1">
        <v>45617</v>
      </c>
      <c r="B1038" t="s">
        <v>8</v>
      </c>
      <c r="C1038" t="s">
        <v>38</v>
      </c>
      <c r="D1038" t="s">
        <v>22</v>
      </c>
      <c r="E1038">
        <v>1</v>
      </c>
      <c r="F1038" s="3">
        <v>1502</v>
      </c>
      <c r="G1038" t="s">
        <v>39</v>
      </c>
      <c r="H1038" t="s">
        <v>43</v>
      </c>
    </row>
    <row r="1039" spans="1:8" x14ac:dyDescent="0.25">
      <c r="A1039" s="1">
        <v>45214</v>
      </c>
      <c r="B1039" t="s">
        <v>33</v>
      </c>
      <c r="C1039" t="s">
        <v>44</v>
      </c>
      <c r="D1039" t="s">
        <v>45</v>
      </c>
      <c r="E1039">
        <v>7</v>
      </c>
      <c r="F1039" s="3">
        <v>2044</v>
      </c>
      <c r="G1039" t="s">
        <v>16</v>
      </c>
      <c r="H1039" t="s">
        <v>17</v>
      </c>
    </row>
    <row r="1040" spans="1:8" x14ac:dyDescent="0.25">
      <c r="A1040" s="1">
        <v>45666</v>
      </c>
      <c r="B1040" t="s">
        <v>29</v>
      </c>
      <c r="C1040" t="s">
        <v>44</v>
      </c>
      <c r="D1040" t="s">
        <v>45</v>
      </c>
      <c r="E1040">
        <v>1</v>
      </c>
      <c r="F1040" s="3">
        <v>1826</v>
      </c>
      <c r="G1040" t="s">
        <v>27</v>
      </c>
      <c r="H1040" t="s">
        <v>32</v>
      </c>
    </row>
    <row r="1041" spans="1:8" x14ac:dyDescent="0.25">
      <c r="A1041" s="1">
        <v>45507</v>
      </c>
      <c r="B1041" t="s">
        <v>46</v>
      </c>
      <c r="C1041" t="s">
        <v>38</v>
      </c>
      <c r="D1041" t="s">
        <v>22</v>
      </c>
      <c r="E1041">
        <v>4</v>
      </c>
      <c r="F1041" s="3">
        <v>4584</v>
      </c>
      <c r="G1041" t="s">
        <v>39</v>
      </c>
      <c r="H1041" t="s">
        <v>34</v>
      </c>
    </row>
    <row r="1042" spans="1:8" x14ac:dyDescent="0.25">
      <c r="A1042" s="1">
        <v>45271</v>
      </c>
      <c r="B1042" t="s">
        <v>42</v>
      </c>
      <c r="C1042" t="s">
        <v>14</v>
      </c>
      <c r="D1042" t="s">
        <v>15</v>
      </c>
      <c r="E1042">
        <v>15</v>
      </c>
      <c r="F1042" s="3">
        <v>5565</v>
      </c>
      <c r="G1042" t="s">
        <v>31</v>
      </c>
      <c r="H1042" t="s">
        <v>32</v>
      </c>
    </row>
    <row r="1043" spans="1:8" x14ac:dyDescent="0.25">
      <c r="A1043" s="1">
        <v>45886</v>
      </c>
      <c r="B1043" t="s">
        <v>46</v>
      </c>
      <c r="C1043" t="s">
        <v>35</v>
      </c>
      <c r="D1043" t="s">
        <v>36</v>
      </c>
      <c r="E1043">
        <v>8</v>
      </c>
      <c r="F1043" s="3">
        <v>6552</v>
      </c>
      <c r="G1043" t="s">
        <v>31</v>
      </c>
      <c r="H1043" t="s">
        <v>17</v>
      </c>
    </row>
    <row r="1044" spans="1:8" x14ac:dyDescent="0.25">
      <c r="A1044" s="1">
        <v>45676</v>
      </c>
      <c r="B1044" t="s">
        <v>29</v>
      </c>
      <c r="C1044" t="s">
        <v>35</v>
      </c>
      <c r="D1044" t="s">
        <v>36</v>
      </c>
      <c r="E1044">
        <v>9</v>
      </c>
      <c r="F1044" s="3">
        <v>3123</v>
      </c>
      <c r="G1044" t="s">
        <v>11</v>
      </c>
      <c r="H1044" t="s">
        <v>32</v>
      </c>
    </row>
    <row r="1045" spans="1:8" x14ac:dyDescent="0.25">
      <c r="A1045" s="1">
        <v>45264</v>
      </c>
      <c r="B1045" t="s">
        <v>42</v>
      </c>
      <c r="C1045" t="s">
        <v>14</v>
      </c>
      <c r="D1045" t="s">
        <v>15</v>
      </c>
      <c r="E1045">
        <v>17</v>
      </c>
      <c r="F1045" s="3">
        <v>22814</v>
      </c>
      <c r="G1045" t="s">
        <v>31</v>
      </c>
      <c r="H1045" t="s">
        <v>23</v>
      </c>
    </row>
    <row r="1046" spans="1:8" x14ac:dyDescent="0.25">
      <c r="A1046" s="1">
        <v>45446</v>
      </c>
      <c r="B1046" t="s">
        <v>18</v>
      </c>
      <c r="C1046" t="s">
        <v>21</v>
      </c>
      <c r="D1046" t="s">
        <v>22</v>
      </c>
      <c r="E1046">
        <v>18</v>
      </c>
      <c r="F1046" s="3">
        <v>35424</v>
      </c>
      <c r="G1046" t="s">
        <v>16</v>
      </c>
      <c r="H1046" t="s">
        <v>19</v>
      </c>
    </row>
    <row r="1047" spans="1:8" x14ac:dyDescent="0.25">
      <c r="A1047" s="1">
        <v>45283</v>
      </c>
      <c r="B1047" t="s">
        <v>42</v>
      </c>
      <c r="C1047" t="s">
        <v>35</v>
      </c>
      <c r="D1047" t="s">
        <v>36</v>
      </c>
      <c r="E1047">
        <v>12</v>
      </c>
      <c r="F1047" s="3">
        <v>20856</v>
      </c>
      <c r="G1047" t="s">
        <v>16</v>
      </c>
      <c r="H1047" t="s">
        <v>12</v>
      </c>
    </row>
    <row r="1048" spans="1:8" x14ac:dyDescent="0.25">
      <c r="A1048" s="1">
        <v>45790</v>
      </c>
      <c r="B1048" t="s">
        <v>13</v>
      </c>
      <c r="C1048" t="s">
        <v>9</v>
      </c>
      <c r="D1048" t="s">
        <v>10</v>
      </c>
      <c r="E1048">
        <v>11</v>
      </c>
      <c r="F1048" s="3">
        <v>12320</v>
      </c>
      <c r="G1048" t="s">
        <v>31</v>
      </c>
      <c r="H1048" t="s">
        <v>34</v>
      </c>
    </row>
    <row r="1049" spans="1:8" x14ac:dyDescent="0.25">
      <c r="A1049" s="1">
        <v>45838</v>
      </c>
      <c r="B1049" t="s">
        <v>18</v>
      </c>
      <c r="C1049" t="s">
        <v>14</v>
      </c>
      <c r="D1049" t="s">
        <v>15</v>
      </c>
      <c r="E1049">
        <v>4</v>
      </c>
      <c r="F1049" s="3">
        <v>3876</v>
      </c>
      <c r="G1049" t="s">
        <v>31</v>
      </c>
      <c r="H1049" t="s">
        <v>17</v>
      </c>
    </row>
    <row r="1050" spans="1:8" x14ac:dyDescent="0.25">
      <c r="A1050" s="1">
        <v>45371</v>
      </c>
      <c r="B1050" t="s">
        <v>48</v>
      </c>
      <c r="C1050" t="s">
        <v>21</v>
      </c>
      <c r="D1050" t="s">
        <v>22</v>
      </c>
      <c r="E1050">
        <v>17</v>
      </c>
      <c r="F1050" s="3">
        <v>5797</v>
      </c>
      <c r="G1050" t="s">
        <v>27</v>
      </c>
      <c r="H1050" t="s">
        <v>12</v>
      </c>
    </row>
    <row r="1051" spans="1:8" x14ac:dyDescent="0.25">
      <c r="A1051" s="1">
        <v>45446</v>
      </c>
      <c r="B1051" t="s">
        <v>18</v>
      </c>
      <c r="C1051" t="s">
        <v>37</v>
      </c>
      <c r="D1051" t="s">
        <v>15</v>
      </c>
      <c r="E1051">
        <v>1</v>
      </c>
      <c r="F1051" s="3">
        <v>378</v>
      </c>
      <c r="G1051" t="s">
        <v>39</v>
      </c>
      <c r="H1051" t="s">
        <v>17</v>
      </c>
    </row>
    <row r="1052" spans="1:8" x14ac:dyDescent="0.25">
      <c r="A1052" s="1">
        <v>45317</v>
      </c>
      <c r="B1052" t="s">
        <v>29</v>
      </c>
      <c r="C1052" t="s">
        <v>44</v>
      </c>
      <c r="D1052" t="s">
        <v>45</v>
      </c>
      <c r="E1052">
        <v>16</v>
      </c>
      <c r="F1052" s="3">
        <v>25392</v>
      </c>
      <c r="G1052" t="s">
        <v>39</v>
      </c>
      <c r="H1052" t="s">
        <v>32</v>
      </c>
    </row>
    <row r="1053" spans="1:8" x14ac:dyDescent="0.25">
      <c r="A1053" s="1">
        <v>46020</v>
      </c>
      <c r="B1053" t="s">
        <v>42</v>
      </c>
      <c r="C1053" t="s">
        <v>21</v>
      </c>
      <c r="D1053" t="s">
        <v>22</v>
      </c>
      <c r="E1053">
        <v>17</v>
      </c>
      <c r="F1053" s="3">
        <v>30702</v>
      </c>
      <c r="G1053" t="s">
        <v>27</v>
      </c>
      <c r="H1053" t="s">
        <v>28</v>
      </c>
    </row>
    <row r="1054" spans="1:8" x14ac:dyDescent="0.25">
      <c r="A1054" s="1">
        <v>45960</v>
      </c>
      <c r="B1054" t="s">
        <v>33</v>
      </c>
      <c r="C1054" t="s">
        <v>9</v>
      </c>
      <c r="D1054" t="s">
        <v>10</v>
      </c>
      <c r="E1054">
        <v>5</v>
      </c>
      <c r="F1054" s="3">
        <v>2330</v>
      </c>
      <c r="G1054" t="s">
        <v>11</v>
      </c>
      <c r="H1054" t="s">
        <v>28</v>
      </c>
    </row>
    <row r="1055" spans="1:8" x14ac:dyDescent="0.25">
      <c r="A1055" s="1">
        <v>45712</v>
      </c>
      <c r="B1055" t="s">
        <v>47</v>
      </c>
      <c r="C1055" t="s">
        <v>38</v>
      </c>
      <c r="D1055" t="s">
        <v>22</v>
      </c>
      <c r="E1055">
        <v>9</v>
      </c>
      <c r="F1055" s="3">
        <v>5328</v>
      </c>
      <c r="G1055" t="s">
        <v>27</v>
      </c>
      <c r="H1055" t="s">
        <v>12</v>
      </c>
    </row>
    <row r="1056" spans="1:8" x14ac:dyDescent="0.25">
      <c r="A1056" s="1">
        <v>45372</v>
      </c>
      <c r="B1056" t="s">
        <v>48</v>
      </c>
      <c r="C1056" t="s">
        <v>30</v>
      </c>
      <c r="D1056" t="s">
        <v>15</v>
      </c>
      <c r="E1056">
        <v>1</v>
      </c>
      <c r="F1056" s="3">
        <v>1592</v>
      </c>
      <c r="G1056" t="s">
        <v>31</v>
      </c>
      <c r="H1056" t="s">
        <v>23</v>
      </c>
    </row>
    <row r="1057" spans="1:8" x14ac:dyDescent="0.25">
      <c r="A1057" s="1">
        <v>45623</v>
      </c>
      <c r="B1057" t="s">
        <v>8</v>
      </c>
      <c r="C1057" t="s">
        <v>9</v>
      </c>
      <c r="D1057" t="s">
        <v>10</v>
      </c>
      <c r="E1057">
        <v>19</v>
      </c>
      <c r="F1057" s="3">
        <v>16549</v>
      </c>
      <c r="G1057" t="s">
        <v>11</v>
      </c>
      <c r="H1057" t="s">
        <v>12</v>
      </c>
    </row>
    <row r="1058" spans="1:8" x14ac:dyDescent="0.25">
      <c r="A1058" s="1">
        <v>45024</v>
      </c>
      <c r="B1058" t="s">
        <v>40</v>
      </c>
      <c r="C1058" t="s">
        <v>25</v>
      </c>
      <c r="D1058" t="s">
        <v>26</v>
      </c>
      <c r="E1058">
        <v>8</v>
      </c>
      <c r="F1058" s="3">
        <v>2224</v>
      </c>
      <c r="G1058" t="s">
        <v>11</v>
      </c>
      <c r="H1058" t="s">
        <v>28</v>
      </c>
    </row>
    <row r="1059" spans="1:8" x14ac:dyDescent="0.25">
      <c r="A1059" s="1">
        <v>45802</v>
      </c>
      <c r="B1059" t="s">
        <v>13</v>
      </c>
      <c r="C1059" t="s">
        <v>9</v>
      </c>
      <c r="D1059" t="s">
        <v>10</v>
      </c>
      <c r="E1059">
        <v>8</v>
      </c>
      <c r="F1059" s="3">
        <v>15112</v>
      </c>
      <c r="G1059" t="s">
        <v>39</v>
      </c>
      <c r="H1059" t="s">
        <v>23</v>
      </c>
    </row>
    <row r="1060" spans="1:8" x14ac:dyDescent="0.25">
      <c r="A1060" s="1">
        <v>45509</v>
      </c>
      <c r="B1060" t="s">
        <v>46</v>
      </c>
      <c r="C1060" t="s">
        <v>14</v>
      </c>
      <c r="D1060" t="s">
        <v>15</v>
      </c>
      <c r="E1060">
        <v>4</v>
      </c>
      <c r="F1060" s="3">
        <v>820</v>
      </c>
      <c r="G1060" t="s">
        <v>16</v>
      </c>
      <c r="H1060" t="s">
        <v>43</v>
      </c>
    </row>
    <row r="1061" spans="1:8" x14ac:dyDescent="0.25">
      <c r="A1061" s="1">
        <v>45953</v>
      </c>
      <c r="B1061" t="s">
        <v>33</v>
      </c>
      <c r="C1061" t="s">
        <v>30</v>
      </c>
      <c r="D1061" t="s">
        <v>15</v>
      </c>
      <c r="E1061">
        <v>6</v>
      </c>
      <c r="F1061" s="3">
        <v>4794</v>
      </c>
      <c r="G1061" t="s">
        <v>39</v>
      </c>
      <c r="H1061" t="s">
        <v>32</v>
      </c>
    </row>
    <row r="1062" spans="1:8" x14ac:dyDescent="0.25">
      <c r="A1062" s="1">
        <v>45857</v>
      </c>
      <c r="B1062" t="s">
        <v>20</v>
      </c>
      <c r="C1062" t="s">
        <v>21</v>
      </c>
      <c r="D1062" t="s">
        <v>22</v>
      </c>
      <c r="E1062">
        <v>6</v>
      </c>
      <c r="F1062" s="3">
        <v>6756</v>
      </c>
      <c r="G1062" t="s">
        <v>11</v>
      </c>
      <c r="H1062" t="s">
        <v>19</v>
      </c>
    </row>
    <row r="1063" spans="1:8" x14ac:dyDescent="0.25">
      <c r="A1063" s="1">
        <v>45409</v>
      </c>
      <c r="B1063" t="s">
        <v>40</v>
      </c>
      <c r="C1063" t="s">
        <v>44</v>
      </c>
      <c r="D1063" t="s">
        <v>45</v>
      </c>
      <c r="E1063">
        <v>1</v>
      </c>
      <c r="F1063" s="3">
        <v>1768</v>
      </c>
      <c r="G1063" t="s">
        <v>39</v>
      </c>
      <c r="H1063" t="s">
        <v>28</v>
      </c>
    </row>
    <row r="1064" spans="1:8" x14ac:dyDescent="0.25">
      <c r="A1064" s="1">
        <v>45820</v>
      </c>
      <c r="B1064" t="s">
        <v>18</v>
      </c>
      <c r="C1064" t="s">
        <v>25</v>
      </c>
      <c r="D1064" t="s">
        <v>26</v>
      </c>
      <c r="E1064">
        <v>3</v>
      </c>
      <c r="F1064" s="3">
        <v>1395</v>
      </c>
      <c r="G1064" t="s">
        <v>31</v>
      </c>
      <c r="H1064" t="s">
        <v>34</v>
      </c>
    </row>
    <row r="1065" spans="1:8" x14ac:dyDescent="0.25">
      <c r="A1065" s="1">
        <v>45703</v>
      </c>
      <c r="B1065" t="s">
        <v>47</v>
      </c>
      <c r="C1065" t="s">
        <v>25</v>
      </c>
      <c r="D1065" t="s">
        <v>26</v>
      </c>
      <c r="E1065">
        <v>2</v>
      </c>
      <c r="F1065" s="3">
        <v>2472</v>
      </c>
      <c r="G1065" t="s">
        <v>11</v>
      </c>
      <c r="H1065" t="s">
        <v>43</v>
      </c>
    </row>
    <row r="1066" spans="1:8" x14ac:dyDescent="0.25">
      <c r="A1066" s="1">
        <v>45136</v>
      </c>
      <c r="B1066" t="s">
        <v>20</v>
      </c>
      <c r="C1066" t="s">
        <v>14</v>
      </c>
      <c r="D1066" t="s">
        <v>15</v>
      </c>
      <c r="E1066">
        <v>11</v>
      </c>
      <c r="F1066" s="3">
        <v>979</v>
      </c>
      <c r="G1066" t="s">
        <v>11</v>
      </c>
      <c r="H1066" t="s">
        <v>12</v>
      </c>
    </row>
    <row r="1067" spans="1:8" x14ac:dyDescent="0.25">
      <c r="A1067" s="1">
        <v>45274</v>
      </c>
      <c r="B1067" t="s">
        <v>42</v>
      </c>
      <c r="C1067" t="s">
        <v>30</v>
      </c>
      <c r="D1067" t="s">
        <v>15</v>
      </c>
      <c r="E1067">
        <v>1</v>
      </c>
      <c r="F1067" s="3">
        <v>1161</v>
      </c>
      <c r="G1067" t="s">
        <v>27</v>
      </c>
      <c r="H1067" t="s">
        <v>17</v>
      </c>
    </row>
    <row r="1068" spans="1:8" x14ac:dyDescent="0.25">
      <c r="A1068" s="1">
        <v>45276</v>
      </c>
      <c r="B1068" t="s">
        <v>42</v>
      </c>
      <c r="C1068" t="s">
        <v>44</v>
      </c>
      <c r="D1068" t="s">
        <v>45</v>
      </c>
      <c r="E1068">
        <v>1</v>
      </c>
      <c r="F1068" s="3">
        <v>1470</v>
      </c>
      <c r="G1068" t="s">
        <v>31</v>
      </c>
      <c r="H1068" t="s">
        <v>17</v>
      </c>
    </row>
    <row r="1069" spans="1:8" x14ac:dyDescent="0.25">
      <c r="A1069" s="1">
        <v>45185</v>
      </c>
      <c r="B1069" t="s">
        <v>24</v>
      </c>
      <c r="C1069" t="s">
        <v>30</v>
      </c>
      <c r="D1069" t="s">
        <v>15</v>
      </c>
      <c r="E1069">
        <v>11</v>
      </c>
      <c r="F1069" s="3">
        <v>1012</v>
      </c>
      <c r="G1069" t="s">
        <v>27</v>
      </c>
      <c r="H1069" t="s">
        <v>32</v>
      </c>
    </row>
    <row r="1070" spans="1:8" x14ac:dyDescent="0.25">
      <c r="A1070" s="1">
        <v>44928</v>
      </c>
      <c r="B1070" t="s">
        <v>29</v>
      </c>
      <c r="C1070" t="s">
        <v>41</v>
      </c>
      <c r="D1070" t="s">
        <v>26</v>
      </c>
      <c r="E1070">
        <v>12</v>
      </c>
      <c r="F1070" s="3">
        <v>18996</v>
      </c>
      <c r="G1070" t="s">
        <v>39</v>
      </c>
      <c r="H1070" t="s">
        <v>28</v>
      </c>
    </row>
    <row r="1071" spans="1:8" x14ac:dyDescent="0.25">
      <c r="A1071" s="1">
        <v>45448</v>
      </c>
      <c r="B1071" t="s">
        <v>18</v>
      </c>
      <c r="C1071" t="s">
        <v>25</v>
      </c>
      <c r="D1071" t="s">
        <v>26</v>
      </c>
      <c r="E1071">
        <v>11</v>
      </c>
      <c r="F1071" s="3">
        <v>2299</v>
      </c>
      <c r="G1071" t="s">
        <v>16</v>
      </c>
      <c r="H1071" t="s">
        <v>19</v>
      </c>
    </row>
    <row r="1072" spans="1:8" x14ac:dyDescent="0.25">
      <c r="A1072" s="1">
        <v>45812</v>
      </c>
      <c r="B1072" t="s">
        <v>18</v>
      </c>
      <c r="C1072" t="s">
        <v>37</v>
      </c>
      <c r="D1072" t="s">
        <v>15</v>
      </c>
      <c r="E1072">
        <v>12</v>
      </c>
      <c r="F1072" s="3">
        <v>10320</v>
      </c>
      <c r="G1072" t="s">
        <v>16</v>
      </c>
      <c r="H1072" t="s">
        <v>23</v>
      </c>
    </row>
    <row r="1073" spans="1:8" x14ac:dyDescent="0.25">
      <c r="A1073" s="1">
        <v>45896</v>
      </c>
      <c r="B1073" t="s">
        <v>46</v>
      </c>
      <c r="C1073" t="s">
        <v>37</v>
      </c>
      <c r="D1073" t="s">
        <v>15</v>
      </c>
      <c r="E1073">
        <v>8</v>
      </c>
      <c r="F1073" s="3">
        <v>13096</v>
      </c>
      <c r="G1073" t="s">
        <v>27</v>
      </c>
      <c r="H1073" t="s">
        <v>32</v>
      </c>
    </row>
    <row r="1074" spans="1:8" x14ac:dyDescent="0.25">
      <c r="A1074" s="1">
        <v>45670</v>
      </c>
      <c r="B1074" t="s">
        <v>29</v>
      </c>
      <c r="C1074" t="s">
        <v>37</v>
      </c>
      <c r="D1074" t="s">
        <v>15</v>
      </c>
      <c r="E1074">
        <v>8</v>
      </c>
      <c r="F1074" s="3">
        <v>13256</v>
      </c>
      <c r="G1074" t="s">
        <v>31</v>
      </c>
      <c r="H1074" t="s">
        <v>12</v>
      </c>
    </row>
    <row r="1075" spans="1:8" x14ac:dyDescent="0.25">
      <c r="A1075" s="1">
        <v>45111</v>
      </c>
      <c r="B1075" t="s">
        <v>20</v>
      </c>
      <c r="C1075" t="s">
        <v>41</v>
      </c>
      <c r="D1075" t="s">
        <v>26</v>
      </c>
      <c r="E1075">
        <v>15</v>
      </c>
      <c r="F1075" s="3">
        <v>8085</v>
      </c>
      <c r="G1075" t="s">
        <v>16</v>
      </c>
      <c r="H1075" t="s">
        <v>28</v>
      </c>
    </row>
    <row r="1076" spans="1:8" x14ac:dyDescent="0.25">
      <c r="A1076" s="1">
        <v>45910</v>
      </c>
      <c r="B1076" t="s">
        <v>24</v>
      </c>
      <c r="C1076" t="s">
        <v>25</v>
      </c>
      <c r="D1076" t="s">
        <v>26</v>
      </c>
      <c r="E1076">
        <v>12</v>
      </c>
      <c r="F1076" s="3">
        <v>6708</v>
      </c>
      <c r="G1076" t="s">
        <v>11</v>
      </c>
      <c r="H1076" t="s">
        <v>34</v>
      </c>
    </row>
    <row r="1077" spans="1:8" x14ac:dyDescent="0.25">
      <c r="A1077" s="1">
        <v>45372</v>
      </c>
      <c r="B1077" t="s">
        <v>48</v>
      </c>
      <c r="C1077" t="s">
        <v>41</v>
      </c>
      <c r="D1077" t="s">
        <v>26</v>
      </c>
      <c r="E1077">
        <v>2</v>
      </c>
      <c r="F1077" s="3">
        <v>1686</v>
      </c>
      <c r="G1077" t="s">
        <v>11</v>
      </c>
      <c r="H1077" t="s">
        <v>28</v>
      </c>
    </row>
    <row r="1078" spans="1:8" x14ac:dyDescent="0.25">
      <c r="A1078" s="1">
        <v>45366</v>
      </c>
      <c r="B1078" t="s">
        <v>48</v>
      </c>
      <c r="C1078" t="s">
        <v>44</v>
      </c>
      <c r="D1078" t="s">
        <v>45</v>
      </c>
      <c r="E1078">
        <v>6</v>
      </c>
      <c r="F1078" s="3">
        <v>2346</v>
      </c>
      <c r="G1078" t="s">
        <v>27</v>
      </c>
      <c r="H1078" t="s">
        <v>12</v>
      </c>
    </row>
    <row r="1079" spans="1:8" x14ac:dyDescent="0.25">
      <c r="A1079" s="1">
        <v>45507</v>
      </c>
      <c r="B1079" t="s">
        <v>46</v>
      </c>
      <c r="C1079" t="s">
        <v>38</v>
      </c>
      <c r="D1079" t="s">
        <v>22</v>
      </c>
      <c r="E1079">
        <v>19</v>
      </c>
      <c r="F1079" s="3">
        <v>5472</v>
      </c>
      <c r="G1079" t="s">
        <v>16</v>
      </c>
      <c r="H1079" t="s">
        <v>28</v>
      </c>
    </row>
    <row r="1080" spans="1:8" x14ac:dyDescent="0.25">
      <c r="A1080" s="1">
        <v>45617</v>
      </c>
      <c r="B1080" t="s">
        <v>8</v>
      </c>
      <c r="C1080" t="s">
        <v>44</v>
      </c>
      <c r="D1080" t="s">
        <v>45</v>
      </c>
      <c r="E1080">
        <v>20</v>
      </c>
      <c r="F1080" s="3">
        <v>29680</v>
      </c>
      <c r="G1080" t="s">
        <v>16</v>
      </c>
      <c r="H1080" t="s">
        <v>43</v>
      </c>
    </row>
    <row r="1081" spans="1:8" x14ac:dyDescent="0.25">
      <c r="A1081" s="1">
        <v>44955</v>
      </c>
      <c r="B1081" t="s">
        <v>29</v>
      </c>
      <c r="C1081" t="s">
        <v>25</v>
      </c>
      <c r="D1081" t="s">
        <v>26</v>
      </c>
      <c r="E1081">
        <v>5</v>
      </c>
      <c r="F1081" s="3">
        <v>7390</v>
      </c>
      <c r="G1081" t="s">
        <v>27</v>
      </c>
      <c r="H1081" t="s">
        <v>23</v>
      </c>
    </row>
    <row r="1082" spans="1:8" x14ac:dyDescent="0.25">
      <c r="A1082" s="1">
        <v>44952</v>
      </c>
      <c r="B1082" t="s">
        <v>29</v>
      </c>
      <c r="C1082" t="s">
        <v>38</v>
      </c>
      <c r="D1082" t="s">
        <v>22</v>
      </c>
      <c r="E1082">
        <v>12</v>
      </c>
      <c r="F1082" s="3">
        <v>13752</v>
      </c>
      <c r="G1082" t="s">
        <v>31</v>
      </c>
      <c r="H1082" t="s">
        <v>34</v>
      </c>
    </row>
    <row r="1083" spans="1:8" x14ac:dyDescent="0.25">
      <c r="A1083" s="1">
        <v>45460</v>
      </c>
      <c r="B1083" t="s">
        <v>18</v>
      </c>
      <c r="C1083" t="s">
        <v>35</v>
      </c>
      <c r="D1083" t="s">
        <v>36</v>
      </c>
      <c r="E1083">
        <v>20</v>
      </c>
      <c r="F1083" s="3">
        <v>32840</v>
      </c>
      <c r="G1083" t="s">
        <v>27</v>
      </c>
      <c r="H1083" t="s">
        <v>17</v>
      </c>
    </row>
    <row r="1084" spans="1:8" x14ac:dyDescent="0.25">
      <c r="A1084" s="1">
        <v>45351</v>
      </c>
      <c r="B1084" t="s">
        <v>47</v>
      </c>
      <c r="C1084" t="s">
        <v>9</v>
      </c>
      <c r="D1084" t="s">
        <v>10</v>
      </c>
      <c r="E1084">
        <v>15</v>
      </c>
      <c r="F1084" s="3">
        <v>5850</v>
      </c>
      <c r="G1084" t="s">
        <v>11</v>
      </c>
      <c r="H1084" t="s">
        <v>12</v>
      </c>
    </row>
    <row r="1085" spans="1:8" x14ac:dyDescent="0.25">
      <c r="A1085" s="1">
        <v>45067</v>
      </c>
      <c r="B1085" t="s">
        <v>13</v>
      </c>
      <c r="C1085" t="s">
        <v>25</v>
      </c>
      <c r="D1085" t="s">
        <v>26</v>
      </c>
      <c r="E1085">
        <v>8</v>
      </c>
      <c r="F1085" s="3">
        <v>12536</v>
      </c>
      <c r="G1085" t="s">
        <v>31</v>
      </c>
      <c r="H1085" t="s">
        <v>19</v>
      </c>
    </row>
    <row r="1086" spans="1:8" x14ac:dyDescent="0.25">
      <c r="A1086" s="1">
        <v>45713</v>
      </c>
      <c r="B1086" t="s">
        <v>47</v>
      </c>
      <c r="C1086" t="s">
        <v>21</v>
      </c>
      <c r="D1086" t="s">
        <v>22</v>
      </c>
      <c r="E1086">
        <v>14</v>
      </c>
      <c r="F1086" s="3">
        <v>8554</v>
      </c>
      <c r="G1086" t="s">
        <v>11</v>
      </c>
      <c r="H1086" t="s">
        <v>17</v>
      </c>
    </row>
    <row r="1087" spans="1:8" x14ac:dyDescent="0.25">
      <c r="A1087" s="1">
        <v>45227</v>
      </c>
      <c r="B1087" t="s">
        <v>33</v>
      </c>
      <c r="C1087" t="s">
        <v>35</v>
      </c>
      <c r="D1087" t="s">
        <v>36</v>
      </c>
      <c r="E1087">
        <v>1</v>
      </c>
      <c r="F1087" s="3">
        <v>486</v>
      </c>
      <c r="G1087" t="s">
        <v>27</v>
      </c>
      <c r="H1087" t="s">
        <v>32</v>
      </c>
    </row>
    <row r="1088" spans="1:8" x14ac:dyDescent="0.25">
      <c r="A1088" s="1">
        <v>45002</v>
      </c>
      <c r="B1088" t="s">
        <v>48</v>
      </c>
      <c r="C1088" t="s">
        <v>44</v>
      </c>
      <c r="D1088" t="s">
        <v>45</v>
      </c>
      <c r="E1088">
        <v>1</v>
      </c>
      <c r="F1088" s="3">
        <v>1926</v>
      </c>
      <c r="G1088" t="s">
        <v>11</v>
      </c>
      <c r="H1088" t="s">
        <v>43</v>
      </c>
    </row>
    <row r="1089" spans="1:8" x14ac:dyDescent="0.25">
      <c r="A1089" s="1">
        <v>45309</v>
      </c>
      <c r="B1089" t="s">
        <v>29</v>
      </c>
      <c r="C1089" t="s">
        <v>44</v>
      </c>
      <c r="D1089" t="s">
        <v>45</v>
      </c>
      <c r="E1089">
        <v>14</v>
      </c>
      <c r="F1089" s="3">
        <v>7532</v>
      </c>
      <c r="G1089" t="s">
        <v>27</v>
      </c>
      <c r="H1089" t="s">
        <v>34</v>
      </c>
    </row>
    <row r="1090" spans="1:8" x14ac:dyDescent="0.25">
      <c r="A1090" s="1">
        <v>45369</v>
      </c>
      <c r="B1090" t="s">
        <v>48</v>
      </c>
      <c r="C1090" t="s">
        <v>30</v>
      </c>
      <c r="D1090" t="s">
        <v>15</v>
      </c>
      <c r="E1090">
        <v>5</v>
      </c>
      <c r="F1090" s="3">
        <v>1825</v>
      </c>
      <c r="G1090" t="s">
        <v>11</v>
      </c>
      <c r="H1090" t="s">
        <v>17</v>
      </c>
    </row>
    <row r="1091" spans="1:8" x14ac:dyDescent="0.25">
      <c r="A1091" s="1">
        <v>45882</v>
      </c>
      <c r="B1091" t="s">
        <v>46</v>
      </c>
      <c r="C1091" t="s">
        <v>30</v>
      </c>
      <c r="D1091" t="s">
        <v>15</v>
      </c>
      <c r="E1091">
        <v>8</v>
      </c>
      <c r="F1091" s="3">
        <v>1440</v>
      </c>
      <c r="G1091" t="s">
        <v>31</v>
      </c>
      <c r="H1091" t="s">
        <v>19</v>
      </c>
    </row>
    <row r="1092" spans="1:8" x14ac:dyDescent="0.25">
      <c r="A1092" s="1">
        <v>45940</v>
      </c>
      <c r="B1092" t="s">
        <v>33</v>
      </c>
      <c r="C1092" t="s">
        <v>25</v>
      </c>
      <c r="D1092" t="s">
        <v>26</v>
      </c>
      <c r="E1092">
        <v>8</v>
      </c>
      <c r="F1092" s="3">
        <v>5808</v>
      </c>
      <c r="G1092" t="s">
        <v>31</v>
      </c>
      <c r="H1092" t="s">
        <v>12</v>
      </c>
    </row>
    <row r="1093" spans="1:8" x14ac:dyDescent="0.25">
      <c r="A1093" s="1">
        <v>45599</v>
      </c>
      <c r="B1093" t="s">
        <v>8</v>
      </c>
      <c r="C1093" t="s">
        <v>35</v>
      </c>
      <c r="D1093" t="s">
        <v>36</v>
      </c>
      <c r="E1093">
        <v>4</v>
      </c>
      <c r="F1093" s="3">
        <v>1652</v>
      </c>
      <c r="G1093" t="s">
        <v>31</v>
      </c>
      <c r="H1093" t="s">
        <v>43</v>
      </c>
    </row>
    <row r="1094" spans="1:8" x14ac:dyDescent="0.25">
      <c r="A1094" s="1">
        <v>45347</v>
      </c>
      <c r="B1094" t="s">
        <v>47</v>
      </c>
      <c r="C1094" t="s">
        <v>21</v>
      </c>
      <c r="D1094" t="s">
        <v>22</v>
      </c>
      <c r="E1094">
        <v>17</v>
      </c>
      <c r="F1094" s="3">
        <v>8092</v>
      </c>
      <c r="G1094" t="s">
        <v>27</v>
      </c>
      <c r="H1094" t="s">
        <v>34</v>
      </c>
    </row>
    <row r="1095" spans="1:8" x14ac:dyDescent="0.25">
      <c r="A1095" s="1">
        <v>45717</v>
      </c>
      <c r="B1095" t="s">
        <v>48</v>
      </c>
      <c r="C1095" t="s">
        <v>30</v>
      </c>
      <c r="D1095" t="s">
        <v>15</v>
      </c>
      <c r="E1095">
        <v>8</v>
      </c>
      <c r="F1095" s="3">
        <v>7976</v>
      </c>
      <c r="G1095" t="s">
        <v>27</v>
      </c>
      <c r="H1095" t="s">
        <v>32</v>
      </c>
    </row>
    <row r="1096" spans="1:8" x14ac:dyDescent="0.25">
      <c r="A1096" s="1">
        <v>45523</v>
      </c>
      <c r="B1096" t="s">
        <v>46</v>
      </c>
      <c r="C1096" t="s">
        <v>25</v>
      </c>
      <c r="D1096" t="s">
        <v>26</v>
      </c>
      <c r="E1096">
        <v>5</v>
      </c>
      <c r="F1096" s="3">
        <v>2275</v>
      </c>
      <c r="G1096" t="s">
        <v>11</v>
      </c>
      <c r="H1096" t="s">
        <v>34</v>
      </c>
    </row>
    <row r="1097" spans="1:8" x14ac:dyDescent="0.25">
      <c r="A1097" s="1">
        <v>44963</v>
      </c>
      <c r="B1097" t="s">
        <v>47</v>
      </c>
      <c r="C1097" t="s">
        <v>38</v>
      </c>
      <c r="D1097" t="s">
        <v>22</v>
      </c>
      <c r="E1097">
        <v>11</v>
      </c>
      <c r="F1097" s="3">
        <v>15884</v>
      </c>
      <c r="G1097" t="s">
        <v>39</v>
      </c>
      <c r="H1097" t="s">
        <v>32</v>
      </c>
    </row>
    <row r="1098" spans="1:8" x14ac:dyDescent="0.25">
      <c r="A1098" s="1">
        <v>45349</v>
      </c>
      <c r="B1098" t="s">
        <v>47</v>
      </c>
      <c r="C1098" t="s">
        <v>9</v>
      </c>
      <c r="D1098" t="s">
        <v>10</v>
      </c>
      <c r="E1098">
        <v>18</v>
      </c>
      <c r="F1098" s="3">
        <v>35046</v>
      </c>
      <c r="G1098" t="s">
        <v>16</v>
      </c>
      <c r="H1098" t="s">
        <v>43</v>
      </c>
    </row>
    <row r="1099" spans="1:8" x14ac:dyDescent="0.25">
      <c r="A1099" s="1">
        <v>45343</v>
      </c>
      <c r="B1099" t="s">
        <v>47</v>
      </c>
      <c r="C1099" t="s">
        <v>25</v>
      </c>
      <c r="D1099" t="s">
        <v>26</v>
      </c>
      <c r="E1099">
        <v>15</v>
      </c>
      <c r="F1099" s="3">
        <v>12240</v>
      </c>
      <c r="G1099" t="s">
        <v>31</v>
      </c>
      <c r="H1099" t="s">
        <v>43</v>
      </c>
    </row>
    <row r="1100" spans="1:8" x14ac:dyDescent="0.25">
      <c r="A1100" s="1">
        <v>45795</v>
      </c>
      <c r="B1100" t="s">
        <v>13</v>
      </c>
      <c r="C1100" t="s">
        <v>37</v>
      </c>
      <c r="D1100" t="s">
        <v>15</v>
      </c>
      <c r="E1100">
        <v>1</v>
      </c>
      <c r="F1100" s="3">
        <v>560</v>
      </c>
      <c r="G1100" t="s">
        <v>27</v>
      </c>
      <c r="H1100" t="s">
        <v>12</v>
      </c>
    </row>
    <row r="1101" spans="1:8" x14ac:dyDescent="0.25">
      <c r="A1101" s="1">
        <v>45820</v>
      </c>
      <c r="B1101" t="s">
        <v>18</v>
      </c>
      <c r="C1101" t="s">
        <v>38</v>
      </c>
      <c r="D1101" t="s">
        <v>22</v>
      </c>
      <c r="E1101">
        <v>15</v>
      </c>
      <c r="F1101" s="3">
        <v>900</v>
      </c>
      <c r="G1101" t="s">
        <v>31</v>
      </c>
      <c r="H1101" t="s">
        <v>12</v>
      </c>
    </row>
    <row r="1102" spans="1:8" x14ac:dyDescent="0.25">
      <c r="A1102" s="1">
        <v>45282</v>
      </c>
      <c r="B1102" t="s">
        <v>42</v>
      </c>
      <c r="C1102" t="s">
        <v>38</v>
      </c>
      <c r="D1102" t="s">
        <v>22</v>
      </c>
      <c r="E1102">
        <v>1</v>
      </c>
      <c r="F1102" s="3">
        <v>928</v>
      </c>
      <c r="G1102" t="s">
        <v>11</v>
      </c>
      <c r="H1102" t="s">
        <v>34</v>
      </c>
    </row>
    <row r="1103" spans="1:8" x14ac:dyDescent="0.25">
      <c r="A1103" s="1">
        <v>45286</v>
      </c>
      <c r="B1103" t="s">
        <v>42</v>
      </c>
      <c r="C1103" t="s">
        <v>44</v>
      </c>
      <c r="D1103" t="s">
        <v>45</v>
      </c>
      <c r="E1103">
        <v>12</v>
      </c>
      <c r="F1103" s="3">
        <v>5448</v>
      </c>
      <c r="G1103" t="s">
        <v>11</v>
      </c>
      <c r="H1103" t="s">
        <v>43</v>
      </c>
    </row>
    <row r="1104" spans="1:8" x14ac:dyDescent="0.25">
      <c r="A1104" s="1">
        <v>45754</v>
      </c>
      <c r="B1104" t="s">
        <v>40</v>
      </c>
      <c r="C1104" t="s">
        <v>30</v>
      </c>
      <c r="D1104" t="s">
        <v>15</v>
      </c>
      <c r="E1104">
        <v>19</v>
      </c>
      <c r="F1104" s="3">
        <v>34029</v>
      </c>
      <c r="G1104" t="s">
        <v>11</v>
      </c>
      <c r="H1104" t="s">
        <v>23</v>
      </c>
    </row>
    <row r="1105" spans="1:8" x14ac:dyDescent="0.25">
      <c r="A1105" s="1">
        <v>45309</v>
      </c>
      <c r="B1105" t="s">
        <v>29</v>
      </c>
      <c r="C1105" t="s">
        <v>41</v>
      </c>
      <c r="D1105" t="s">
        <v>26</v>
      </c>
      <c r="E1105">
        <v>3</v>
      </c>
      <c r="F1105" s="3">
        <v>4173</v>
      </c>
      <c r="G1105" t="s">
        <v>11</v>
      </c>
      <c r="H1105" t="s">
        <v>19</v>
      </c>
    </row>
    <row r="1106" spans="1:8" x14ac:dyDescent="0.25">
      <c r="A1106" s="1">
        <v>45674</v>
      </c>
      <c r="B1106" t="s">
        <v>29</v>
      </c>
      <c r="C1106" t="s">
        <v>25</v>
      </c>
      <c r="D1106" t="s">
        <v>26</v>
      </c>
      <c r="E1106">
        <v>1</v>
      </c>
      <c r="F1106" s="3">
        <v>1886</v>
      </c>
      <c r="G1106" t="s">
        <v>27</v>
      </c>
      <c r="H1106" t="s">
        <v>17</v>
      </c>
    </row>
    <row r="1107" spans="1:8" x14ac:dyDescent="0.25">
      <c r="A1107" s="1">
        <v>45551</v>
      </c>
      <c r="B1107" t="s">
        <v>24</v>
      </c>
      <c r="C1107" t="s">
        <v>25</v>
      </c>
      <c r="D1107" t="s">
        <v>26</v>
      </c>
      <c r="E1107">
        <v>1</v>
      </c>
      <c r="F1107" s="3">
        <v>808</v>
      </c>
      <c r="G1107" t="s">
        <v>27</v>
      </c>
      <c r="H1107" t="s">
        <v>23</v>
      </c>
    </row>
    <row r="1108" spans="1:8" x14ac:dyDescent="0.25">
      <c r="A1108" s="1">
        <v>45871</v>
      </c>
      <c r="B1108" t="s">
        <v>46</v>
      </c>
      <c r="C1108" t="s">
        <v>21</v>
      </c>
      <c r="D1108" t="s">
        <v>22</v>
      </c>
      <c r="E1108">
        <v>3</v>
      </c>
      <c r="F1108" s="3">
        <v>5940</v>
      </c>
      <c r="G1108" t="s">
        <v>16</v>
      </c>
      <c r="H1108" t="s">
        <v>32</v>
      </c>
    </row>
    <row r="1109" spans="1:8" x14ac:dyDescent="0.25">
      <c r="A1109" s="1">
        <v>45675</v>
      </c>
      <c r="B1109" t="s">
        <v>29</v>
      </c>
      <c r="C1109" t="s">
        <v>37</v>
      </c>
      <c r="D1109" t="s">
        <v>15</v>
      </c>
      <c r="E1109">
        <v>11</v>
      </c>
      <c r="F1109" s="3">
        <v>1177</v>
      </c>
      <c r="G1109" t="s">
        <v>31</v>
      </c>
      <c r="H1109" t="s">
        <v>32</v>
      </c>
    </row>
    <row r="1110" spans="1:8" x14ac:dyDescent="0.25">
      <c r="A1110" s="1">
        <v>44931</v>
      </c>
      <c r="B1110" t="s">
        <v>29</v>
      </c>
      <c r="C1110" t="s">
        <v>21</v>
      </c>
      <c r="D1110" t="s">
        <v>22</v>
      </c>
      <c r="E1110">
        <v>2</v>
      </c>
      <c r="F1110" s="3">
        <v>3750</v>
      </c>
      <c r="G1110" t="s">
        <v>16</v>
      </c>
      <c r="H1110" t="s">
        <v>32</v>
      </c>
    </row>
    <row r="1111" spans="1:8" x14ac:dyDescent="0.25">
      <c r="A1111" s="1">
        <v>45525</v>
      </c>
      <c r="B1111" t="s">
        <v>46</v>
      </c>
      <c r="C1111" t="s">
        <v>37</v>
      </c>
      <c r="D1111" t="s">
        <v>15</v>
      </c>
      <c r="E1111">
        <v>4</v>
      </c>
      <c r="F1111" s="3">
        <v>4716</v>
      </c>
      <c r="G1111" t="s">
        <v>16</v>
      </c>
      <c r="H1111" t="s">
        <v>34</v>
      </c>
    </row>
    <row r="1112" spans="1:8" x14ac:dyDescent="0.25">
      <c r="A1112" s="1">
        <v>45665</v>
      </c>
      <c r="B1112" t="s">
        <v>29</v>
      </c>
      <c r="C1112" t="s">
        <v>44</v>
      </c>
      <c r="D1112" t="s">
        <v>45</v>
      </c>
      <c r="E1112">
        <v>10</v>
      </c>
      <c r="F1112" s="3">
        <v>11120</v>
      </c>
      <c r="G1112" t="s">
        <v>39</v>
      </c>
      <c r="H1112" t="s">
        <v>43</v>
      </c>
    </row>
    <row r="1113" spans="1:8" x14ac:dyDescent="0.25">
      <c r="A1113" s="1">
        <v>45121</v>
      </c>
      <c r="B1113" t="s">
        <v>20</v>
      </c>
      <c r="C1113" t="s">
        <v>30</v>
      </c>
      <c r="D1113" t="s">
        <v>15</v>
      </c>
      <c r="E1113">
        <v>3</v>
      </c>
      <c r="F1113" s="3">
        <v>1077</v>
      </c>
      <c r="G1113" t="s">
        <v>11</v>
      </c>
      <c r="H1113" t="s">
        <v>34</v>
      </c>
    </row>
    <row r="1114" spans="1:8" x14ac:dyDescent="0.25">
      <c r="A1114" s="1">
        <v>46022</v>
      </c>
      <c r="B1114" t="s">
        <v>42</v>
      </c>
      <c r="C1114" t="s">
        <v>37</v>
      </c>
      <c r="D1114" t="s">
        <v>15</v>
      </c>
      <c r="E1114">
        <v>8</v>
      </c>
      <c r="F1114" s="3">
        <v>600</v>
      </c>
      <c r="G1114" t="s">
        <v>31</v>
      </c>
      <c r="H1114" t="s">
        <v>34</v>
      </c>
    </row>
    <row r="1115" spans="1:8" x14ac:dyDescent="0.25">
      <c r="A1115" s="1">
        <v>45755</v>
      </c>
      <c r="B1115" t="s">
        <v>40</v>
      </c>
      <c r="C1115" t="s">
        <v>44</v>
      </c>
      <c r="D1115" t="s">
        <v>45</v>
      </c>
      <c r="E1115">
        <v>19</v>
      </c>
      <c r="F1115" s="3">
        <v>13984</v>
      </c>
      <c r="G1115" t="s">
        <v>31</v>
      </c>
      <c r="H1115" t="s">
        <v>12</v>
      </c>
    </row>
    <row r="1116" spans="1:8" x14ac:dyDescent="0.25">
      <c r="A1116" s="1">
        <v>45825</v>
      </c>
      <c r="B1116" t="s">
        <v>18</v>
      </c>
      <c r="C1116" t="s">
        <v>44</v>
      </c>
      <c r="D1116" t="s">
        <v>45</v>
      </c>
      <c r="E1116">
        <v>6</v>
      </c>
      <c r="F1116" s="3">
        <v>8004</v>
      </c>
      <c r="G1116" t="s">
        <v>16</v>
      </c>
      <c r="H1116" t="s">
        <v>23</v>
      </c>
    </row>
    <row r="1117" spans="1:8" x14ac:dyDescent="0.25">
      <c r="A1117" s="1">
        <v>45861</v>
      </c>
      <c r="B1117" t="s">
        <v>20</v>
      </c>
      <c r="C1117" t="s">
        <v>14</v>
      </c>
      <c r="D1117" t="s">
        <v>15</v>
      </c>
      <c r="E1117">
        <v>15</v>
      </c>
      <c r="F1117" s="3">
        <v>20415</v>
      </c>
      <c r="G1117" t="s">
        <v>31</v>
      </c>
      <c r="H1117" t="s">
        <v>28</v>
      </c>
    </row>
    <row r="1118" spans="1:8" x14ac:dyDescent="0.25">
      <c r="A1118" s="1">
        <v>45439</v>
      </c>
      <c r="B1118" t="s">
        <v>13</v>
      </c>
      <c r="C1118" t="s">
        <v>41</v>
      </c>
      <c r="D1118" t="s">
        <v>26</v>
      </c>
      <c r="E1118">
        <v>17</v>
      </c>
      <c r="F1118" s="3">
        <v>19788</v>
      </c>
      <c r="G1118" t="s">
        <v>16</v>
      </c>
      <c r="H1118" t="s">
        <v>19</v>
      </c>
    </row>
    <row r="1119" spans="1:8" x14ac:dyDescent="0.25">
      <c r="A1119" s="1">
        <v>45891</v>
      </c>
      <c r="B1119" t="s">
        <v>46</v>
      </c>
      <c r="C1119" t="s">
        <v>30</v>
      </c>
      <c r="D1119" t="s">
        <v>15</v>
      </c>
      <c r="E1119">
        <v>9</v>
      </c>
      <c r="F1119" s="3">
        <v>2790</v>
      </c>
      <c r="G1119" t="s">
        <v>31</v>
      </c>
      <c r="H1119" t="s">
        <v>34</v>
      </c>
    </row>
    <row r="1120" spans="1:8" x14ac:dyDescent="0.25">
      <c r="A1120" s="1">
        <v>45527</v>
      </c>
      <c r="B1120" t="s">
        <v>46</v>
      </c>
      <c r="C1120" t="s">
        <v>30</v>
      </c>
      <c r="D1120" t="s">
        <v>15</v>
      </c>
      <c r="E1120">
        <v>13</v>
      </c>
      <c r="F1120" s="3">
        <v>11999</v>
      </c>
      <c r="G1120" t="s">
        <v>27</v>
      </c>
      <c r="H1120" t="s">
        <v>34</v>
      </c>
    </row>
    <row r="1121" spans="1:8" x14ac:dyDescent="0.25">
      <c r="A1121" s="1">
        <v>45954</v>
      </c>
      <c r="B1121" t="s">
        <v>33</v>
      </c>
      <c r="C1121" t="s">
        <v>37</v>
      </c>
      <c r="D1121" t="s">
        <v>15</v>
      </c>
      <c r="E1121">
        <v>16</v>
      </c>
      <c r="F1121" s="3">
        <v>18592</v>
      </c>
      <c r="G1121" t="s">
        <v>31</v>
      </c>
      <c r="H1121" t="s">
        <v>17</v>
      </c>
    </row>
    <row r="1122" spans="1:8" x14ac:dyDescent="0.25">
      <c r="A1122" s="1">
        <v>45849</v>
      </c>
      <c r="B1122" t="s">
        <v>20</v>
      </c>
      <c r="C1122" t="s">
        <v>9</v>
      </c>
      <c r="D1122" t="s">
        <v>10</v>
      </c>
      <c r="E1122">
        <v>7</v>
      </c>
      <c r="F1122" s="3">
        <v>4564</v>
      </c>
      <c r="G1122" t="s">
        <v>11</v>
      </c>
      <c r="H1122" t="s">
        <v>28</v>
      </c>
    </row>
    <row r="1123" spans="1:8" x14ac:dyDescent="0.25">
      <c r="A1123" s="1">
        <v>45389</v>
      </c>
      <c r="B1123" t="s">
        <v>40</v>
      </c>
      <c r="C1123" t="s">
        <v>44</v>
      </c>
      <c r="D1123" t="s">
        <v>45</v>
      </c>
      <c r="E1123">
        <v>12</v>
      </c>
      <c r="F1123" s="3">
        <v>9216</v>
      </c>
      <c r="G1123" t="s">
        <v>39</v>
      </c>
      <c r="H1123" t="s">
        <v>43</v>
      </c>
    </row>
    <row r="1124" spans="1:8" x14ac:dyDescent="0.25">
      <c r="A1124" s="1">
        <v>45096</v>
      </c>
      <c r="B1124" t="s">
        <v>18</v>
      </c>
      <c r="C1124" t="s">
        <v>9</v>
      </c>
      <c r="D1124" t="s">
        <v>10</v>
      </c>
      <c r="E1124">
        <v>7</v>
      </c>
      <c r="F1124" s="3">
        <v>4858</v>
      </c>
      <c r="G1124" t="s">
        <v>16</v>
      </c>
      <c r="H1124" t="s">
        <v>28</v>
      </c>
    </row>
    <row r="1125" spans="1:8" x14ac:dyDescent="0.25">
      <c r="A1125" s="1">
        <v>45239</v>
      </c>
      <c r="B1125" t="s">
        <v>8</v>
      </c>
      <c r="C1125" t="s">
        <v>9</v>
      </c>
      <c r="D1125" t="s">
        <v>10</v>
      </c>
      <c r="E1125">
        <v>6</v>
      </c>
      <c r="F1125" s="3">
        <v>2880</v>
      </c>
      <c r="G1125" t="s">
        <v>31</v>
      </c>
      <c r="H1125" t="s">
        <v>19</v>
      </c>
    </row>
    <row r="1126" spans="1:8" x14ac:dyDescent="0.25">
      <c r="A1126" s="1">
        <v>45262</v>
      </c>
      <c r="B1126" t="s">
        <v>42</v>
      </c>
      <c r="C1126" t="s">
        <v>9</v>
      </c>
      <c r="D1126" t="s">
        <v>10</v>
      </c>
      <c r="E1126">
        <v>11</v>
      </c>
      <c r="F1126" s="3">
        <v>19943</v>
      </c>
      <c r="G1126" t="s">
        <v>16</v>
      </c>
      <c r="H1126" t="s">
        <v>34</v>
      </c>
    </row>
    <row r="1127" spans="1:8" x14ac:dyDescent="0.25">
      <c r="A1127" s="1">
        <v>45867</v>
      </c>
      <c r="B1127" t="s">
        <v>20</v>
      </c>
      <c r="C1127" t="s">
        <v>44</v>
      </c>
      <c r="D1127" t="s">
        <v>45</v>
      </c>
      <c r="E1127">
        <v>10</v>
      </c>
      <c r="F1127" s="3">
        <v>16610</v>
      </c>
      <c r="G1127" t="s">
        <v>27</v>
      </c>
      <c r="H1127" t="s">
        <v>17</v>
      </c>
    </row>
    <row r="1128" spans="1:8" x14ac:dyDescent="0.25">
      <c r="A1128" s="1">
        <v>45099</v>
      </c>
      <c r="B1128" t="s">
        <v>18</v>
      </c>
      <c r="C1128" t="s">
        <v>44</v>
      </c>
      <c r="D1128" t="s">
        <v>45</v>
      </c>
      <c r="E1128">
        <v>10</v>
      </c>
      <c r="F1128" s="3">
        <v>4390</v>
      </c>
      <c r="G1128" t="s">
        <v>11</v>
      </c>
      <c r="H1128" t="s">
        <v>12</v>
      </c>
    </row>
    <row r="1129" spans="1:8" x14ac:dyDescent="0.25">
      <c r="A1129" s="1">
        <v>45599</v>
      </c>
      <c r="B1129" t="s">
        <v>8</v>
      </c>
      <c r="C1129" t="s">
        <v>44</v>
      </c>
      <c r="D1129" t="s">
        <v>45</v>
      </c>
      <c r="E1129">
        <v>18</v>
      </c>
      <c r="F1129" s="3">
        <v>24462</v>
      </c>
      <c r="G1129" t="s">
        <v>39</v>
      </c>
      <c r="H1129" t="s">
        <v>43</v>
      </c>
    </row>
    <row r="1130" spans="1:8" x14ac:dyDescent="0.25">
      <c r="A1130" s="1">
        <v>45601</v>
      </c>
      <c r="B1130" t="s">
        <v>8</v>
      </c>
      <c r="C1130" t="s">
        <v>30</v>
      </c>
      <c r="D1130" t="s">
        <v>15</v>
      </c>
      <c r="E1130">
        <v>6</v>
      </c>
      <c r="F1130" s="3">
        <v>11892</v>
      </c>
      <c r="G1130" t="s">
        <v>27</v>
      </c>
      <c r="H1130" t="s">
        <v>17</v>
      </c>
    </row>
    <row r="1131" spans="1:8" x14ac:dyDescent="0.25">
      <c r="A1131" s="1">
        <v>45393</v>
      </c>
      <c r="B1131" t="s">
        <v>40</v>
      </c>
      <c r="C1131" t="s">
        <v>35</v>
      </c>
      <c r="D1131" t="s">
        <v>36</v>
      </c>
      <c r="E1131">
        <v>4</v>
      </c>
      <c r="F1131" s="3">
        <v>352</v>
      </c>
      <c r="G1131" t="s">
        <v>16</v>
      </c>
      <c r="H1131" t="s">
        <v>34</v>
      </c>
    </row>
    <row r="1132" spans="1:8" x14ac:dyDescent="0.25">
      <c r="A1132" s="1">
        <v>45990</v>
      </c>
      <c r="B1132" t="s">
        <v>8</v>
      </c>
      <c r="C1132" t="s">
        <v>21</v>
      </c>
      <c r="D1132" t="s">
        <v>22</v>
      </c>
      <c r="E1132">
        <v>5</v>
      </c>
      <c r="F1132" s="3">
        <v>1985</v>
      </c>
      <c r="G1132" t="s">
        <v>39</v>
      </c>
      <c r="H1132" t="s">
        <v>34</v>
      </c>
    </row>
    <row r="1133" spans="1:8" x14ac:dyDescent="0.25">
      <c r="A1133" s="1">
        <v>45343</v>
      </c>
      <c r="B1133" t="s">
        <v>47</v>
      </c>
      <c r="C1133" t="s">
        <v>25</v>
      </c>
      <c r="D1133" t="s">
        <v>26</v>
      </c>
      <c r="E1133">
        <v>1</v>
      </c>
      <c r="F1133" s="3">
        <v>269</v>
      </c>
      <c r="G1133" t="s">
        <v>27</v>
      </c>
      <c r="H1133" t="s">
        <v>28</v>
      </c>
    </row>
    <row r="1134" spans="1:8" x14ac:dyDescent="0.25">
      <c r="A1134" s="1">
        <v>45456</v>
      </c>
      <c r="B1134" t="s">
        <v>18</v>
      </c>
      <c r="C1134" t="s">
        <v>9</v>
      </c>
      <c r="D1134" t="s">
        <v>10</v>
      </c>
      <c r="E1134">
        <v>9</v>
      </c>
      <c r="F1134" s="3">
        <v>15363</v>
      </c>
      <c r="G1134" t="s">
        <v>27</v>
      </c>
      <c r="H1134" t="s">
        <v>43</v>
      </c>
    </row>
    <row r="1135" spans="1:8" x14ac:dyDescent="0.25">
      <c r="A1135" s="1">
        <v>45321</v>
      </c>
      <c r="B1135" t="s">
        <v>29</v>
      </c>
      <c r="C1135" t="s">
        <v>41</v>
      </c>
      <c r="D1135" t="s">
        <v>26</v>
      </c>
      <c r="E1135">
        <v>11</v>
      </c>
      <c r="F1135" s="3">
        <v>4048</v>
      </c>
      <c r="G1135" t="s">
        <v>27</v>
      </c>
      <c r="H1135" t="s">
        <v>34</v>
      </c>
    </row>
    <row r="1136" spans="1:8" x14ac:dyDescent="0.25">
      <c r="A1136" s="1">
        <v>45319</v>
      </c>
      <c r="B1136" t="s">
        <v>29</v>
      </c>
      <c r="C1136" t="s">
        <v>30</v>
      </c>
      <c r="D1136" t="s">
        <v>15</v>
      </c>
      <c r="E1136">
        <v>15</v>
      </c>
      <c r="F1136" s="3">
        <v>12945</v>
      </c>
      <c r="G1136" t="s">
        <v>11</v>
      </c>
      <c r="H1136" t="s">
        <v>43</v>
      </c>
    </row>
    <row r="1137" spans="1:8" x14ac:dyDescent="0.25">
      <c r="A1137" s="1">
        <v>45137</v>
      </c>
      <c r="B1137" t="s">
        <v>20</v>
      </c>
      <c r="C1137" t="s">
        <v>41</v>
      </c>
      <c r="D1137" t="s">
        <v>26</v>
      </c>
      <c r="E1137">
        <v>6</v>
      </c>
      <c r="F1137" s="3">
        <v>8808</v>
      </c>
      <c r="G1137" t="s">
        <v>11</v>
      </c>
      <c r="H1137" t="s">
        <v>43</v>
      </c>
    </row>
    <row r="1138" spans="1:8" x14ac:dyDescent="0.25">
      <c r="A1138" s="1">
        <v>45576</v>
      </c>
      <c r="B1138" t="s">
        <v>33</v>
      </c>
      <c r="C1138" t="s">
        <v>41</v>
      </c>
      <c r="D1138" t="s">
        <v>26</v>
      </c>
      <c r="E1138">
        <v>9</v>
      </c>
      <c r="F1138" s="3">
        <v>7650</v>
      </c>
      <c r="G1138" t="s">
        <v>11</v>
      </c>
      <c r="H1138" t="s">
        <v>34</v>
      </c>
    </row>
    <row r="1139" spans="1:8" x14ac:dyDescent="0.25">
      <c r="A1139" s="1">
        <v>45460</v>
      </c>
      <c r="B1139" t="s">
        <v>18</v>
      </c>
      <c r="C1139" t="s">
        <v>21</v>
      </c>
      <c r="D1139" t="s">
        <v>22</v>
      </c>
      <c r="E1139">
        <v>15</v>
      </c>
      <c r="F1139" s="3">
        <v>3765</v>
      </c>
      <c r="G1139" t="s">
        <v>31</v>
      </c>
      <c r="H1139" t="s">
        <v>12</v>
      </c>
    </row>
    <row r="1140" spans="1:8" x14ac:dyDescent="0.25">
      <c r="A1140" s="1">
        <v>45734</v>
      </c>
      <c r="B1140" t="s">
        <v>48</v>
      </c>
      <c r="C1140" t="s">
        <v>41</v>
      </c>
      <c r="D1140" t="s">
        <v>26</v>
      </c>
      <c r="E1140">
        <v>3</v>
      </c>
      <c r="F1140" s="3">
        <v>4497</v>
      </c>
      <c r="G1140" t="s">
        <v>39</v>
      </c>
      <c r="H1140" t="s">
        <v>23</v>
      </c>
    </row>
    <row r="1141" spans="1:8" x14ac:dyDescent="0.25">
      <c r="A1141" s="1">
        <v>45073</v>
      </c>
      <c r="B1141" t="s">
        <v>13</v>
      </c>
      <c r="C1141" t="s">
        <v>25</v>
      </c>
      <c r="D1141" t="s">
        <v>26</v>
      </c>
      <c r="E1141">
        <v>2</v>
      </c>
      <c r="F1141" s="3">
        <v>1904</v>
      </c>
      <c r="G1141" t="s">
        <v>27</v>
      </c>
      <c r="H1141" t="s">
        <v>43</v>
      </c>
    </row>
    <row r="1142" spans="1:8" x14ac:dyDescent="0.25">
      <c r="A1142" s="1">
        <v>45634</v>
      </c>
      <c r="B1142" t="s">
        <v>42</v>
      </c>
      <c r="C1142" t="s">
        <v>35</v>
      </c>
      <c r="D1142" t="s">
        <v>36</v>
      </c>
      <c r="E1142">
        <v>16</v>
      </c>
      <c r="F1142" s="3">
        <v>25744</v>
      </c>
      <c r="G1142" t="s">
        <v>31</v>
      </c>
      <c r="H1142" t="s">
        <v>43</v>
      </c>
    </row>
    <row r="1143" spans="1:8" x14ac:dyDescent="0.25">
      <c r="A1143" s="1">
        <v>45224</v>
      </c>
      <c r="B1143" t="s">
        <v>33</v>
      </c>
      <c r="C1143" t="s">
        <v>9</v>
      </c>
      <c r="D1143" t="s">
        <v>10</v>
      </c>
      <c r="E1143">
        <v>2</v>
      </c>
      <c r="F1143" s="3">
        <v>3780</v>
      </c>
      <c r="G1143" t="s">
        <v>39</v>
      </c>
      <c r="H1143" t="s">
        <v>19</v>
      </c>
    </row>
    <row r="1144" spans="1:8" x14ac:dyDescent="0.25">
      <c r="A1144" s="1">
        <v>45098</v>
      </c>
      <c r="B1144" t="s">
        <v>18</v>
      </c>
      <c r="C1144" t="s">
        <v>38</v>
      </c>
      <c r="D1144" t="s">
        <v>22</v>
      </c>
      <c r="E1144">
        <v>7</v>
      </c>
      <c r="F1144" s="3">
        <v>1379</v>
      </c>
      <c r="G1144" t="s">
        <v>16</v>
      </c>
      <c r="H1144" t="s">
        <v>28</v>
      </c>
    </row>
    <row r="1145" spans="1:8" x14ac:dyDescent="0.25">
      <c r="A1145" s="1">
        <v>45864</v>
      </c>
      <c r="B1145" t="s">
        <v>20</v>
      </c>
      <c r="C1145" t="s">
        <v>30</v>
      </c>
      <c r="D1145" t="s">
        <v>15</v>
      </c>
      <c r="E1145">
        <v>10</v>
      </c>
      <c r="F1145" s="3">
        <v>5070</v>
      </c>
      <c r="G1145" t="s">
        <v>31</v>
      </c>
      <c r="H1145" t="s">
        <v>43</v>
      </c>
    </row>
    <row r="1146" spans="1:8" x14ac:dyDescent="0.25">
      <c r="A1146" s="1">
        <v>46001</v>
      </c>
      <c r="B1146" t="s">
        <v>42</v>
      </c>
      <c r="C1146" t="s">
        <v>9</v>
      </c>
      <c r="D1146" t="s">
        <v>10</v>
      </c>
      <c r="E1146">
        <v>10</v>
      </c>
      <c r="F1146" s="3">
        <v>1710</v>
      </c>
      <c r="G1146" t="s">
        <v>11</v>
      </c>
      <c r="H1146" t="s">
        <v>19</v>
      </c>
    </row>
    <row r="1147" spans="1:8" x14ac:dyDescent="0.25">
      <c r="A1147" s="1">
        <v>45087</v>
      </c>
      <c r="B1147" t="s">
        <v>18</v>
      </c>
      <c r="C1147" t="s">
        <v>35</v>
      </c>
      <c r="D1147" t="s">
        <v>36</v>
      </c>
      <c r="E1147">
        <v>14</v>
      </c>
      <c r="F1147" s="3">
        <v>10570</v>
      </c>
      <c r="G1147" t="s">
        <v>39</v>
      </c>
      <c r="H1147" t="s">
        <v>19</v>
      </c>
    </row>
    <row r="1148" spans="1:8" x14ac:dyDescent="0.25">
      <c r="A1148" s="1">
        <v>45427</v>
      </c>
      <c r="B1148" t="s">
        <v>13</v>
      </c>
      <c r="C1148" t="s">
        <v>35</v>
      </c>
      <c r="D1148" t="s">
        <v>36</v>
      </c>
      <c r="E1148">
        <v>19</v>
      </c>
      <c r="F1148" s="3">
        <v>17537</v>
      </c>
      <c r="G1148" t="s">
        <v>11</v>
      </c>
      <c r="H1148" t="s">
        <v>12</v>
      </c>
    </row>
    <row r="1149" spans="1:8" x14ac:dyDescent="0.25">
      <c r="A1149" s="1">
        <v>45492</v>
      </c>
      <c r="B1149" t="s">
        <v>20</v>
      </c>
      <c r="C1149" t="s">
        <v>30</v>
      </c>
      <c r="D1149" t="s">
        <v>15</v>
      </c>
      <c r="E1149">
        <v>12</v>
      </c>
      <c r="F1149" s="3">
        <v>1512</v>
      </c>
      <c r="G1149" t="s">
        <v>27</v>
      </c>
      <c r="H1149" t="s">
        <v>43</v>
      </c>
    </row>
    <row r="1150" spans="1:8" x14ac:dyDescent="0.25">
      <c r="A1150" s="1">
        <v>45446</v>
      </c>
      <c r="B1150" t="s">
        <v>18</v>
      </c>
      <c r="C1150" t="s">
        <v>44</v>
      </c>
      <c r="D1150" t="s">
        <v>45</v>
      </c>
      <c r="E1150">
        <v>14</v>
      </c>
      <c r="F1150" s="3">
        <v>27062</v>
      </c>
      <c r="G1150" t="s">
        <v>16</v>
      </c>
      <c r="H1150" t="s">
        <v>12</v>
      </c>
    </row>
    <row r="1151" spans="1:8" x14ac:dyDescent="0.25">
      <c r="A1151" s="1">
        <v>45318</v>
      </c>
      <c r="B1151" t="s">
        <v>29</v>
      </c>
      <c r="C1151" t="s">
        <v>41</v>
      </c>
      <c r="D1151" t="s">
        <v>26</v>
      </c>
      <c r="E1151">
        <v>13</v>
      </c>
      <c r="F1151" s="3">
        <v>10816</v>
      </c>
      <c r="G1151" t="s">
        <v>27</v>
      </c>
      <c r="H1151" t="s">
        <v>12</v>
      </c>
    </row>
    <row r="1152" spans="1:8" x14ac:dyDescent="0.25">
      <c r="A1152" s="1">
        <v>45637</v>
      </c>
      <c r="B1152" t="s">
        <v>42</v>
      </c>
      <c r="C1152" t="s">
        <v>21</v>
      </c>
      <c r="D1152" t="s">
        <v>22</v>
      </c>
      <c r="E1152">
        <v>9</v>
      </c>
      <c r="F1152" s="3">
        <v>2259</v>
      </c>
      <c r="G1152" t="s">
        <v>27</v>
      </c>
      <c r="H1152" t="s">
        <v>32</v>
      </c>
    </row>
    <row r="1153" spans="1:8" x14ac:dyDescent="0.25">
      <c r="A1153" s="1">
        <v>45916</v>
      </c>
      <c r="B1153" t="s">
        <v>24</v>
      </c>
      <c r="C1153" t="s">
        <v>9</v>
      </c>
      <c r="D1153" t="s">
        <v>10</v>
      </c>
      <c r="E1153">
        <v>13</v>
      </c>
      <c r="F1153" s="3">
        <v>22893</v>
      </c>
      <c r="G1153" t="s">
        <v>27</v>
      </c>
      <c r="H1153" t="s">
        <v>23</v>
      </c>
    </row>
    <row r="1154" spans="1:8" x14ac:dyDescent="0.25">
      <c r="A1154" s="1">
        <v>45174</v>
      </c>
      <c r="B1154" t="s">
        <v>24</v>
      </c>
      <c r="C1154" t="s">
        <v>41</v>
      </c>
      <c r="D1154" t="s">
        <v>26</v>
      </c>
      <c r="E1154">
        <v>15</v>
      </c>
      <c r="F1154" s="3">
        <v>25155</v>
      </c>
      <c r="G1154" t="s">
        <v>27</v>
      </c>
      <c r="H1154" t="s">
        <v>43</v>
      </c>
    </row>
    <row r="1155" spans="1:8" x14ac:dyDescent="0.25">
      <c r="A1155" s="1">
        <v>45349</v>
      </c>
      <c r="B1155" t="s">
        <v>47</v>
      </c>
      <c r="C1155" t="s">
        <v>9</v>
      </c>
      <c r="D1155" t="s">
        <v>10</v>
      </c>
      <c r="E1155">
        <v>11</v>
      </c>
      <c r="F1155" s="3">
        <v>2079</v>
      </c>
      <c r="G1155" t="s">
        <v>16</v>
      </c>
      <c r="H1155" t="s">
        <v>17</v>
      </c>
    </row>
    <row r="1156" spans="1:8" x14ac:dyDescent="0.25">
      <c r="A1156" s="1">
        <v>45526</v>
      </c>
      <c r="B1156" t="s">
        <v>46</v>
      </c>
      <c r="C1156" t="s">
        <v>21</v>
      </c>
      <c r="D1156" t="s">
        <v>22</v>
      </c>
      <c r="E1156">
        <v>7</v>
      </c>
      <c r="F1156" s="3">
        <v>7000</v>
      </c>
      <c r="G1156" t="s">
        <v>31</v>
      </c>
      <c r="H1156" t="s">
        <v>43</v>
      </c>
    </row>
    <row r="1157" spans="1:8" x14ac:dyDescent="0.25">
      <c r="A1157" s="1">
        <v>45851</v>
      </c>
      <c r="B1157" t="s">
        <v>20</v>
      </c>
      <c r="C1157" t="s">
        <v>21</v>
      </c>
      <c r="D1157" t="s">
        <v>22</v>
      </c>
      <c r="E1157">
        <v>12</v>
      </c>
      <c r="F1157" s="3">
        <v>6528</v>
      </c>
      <c r="G1157" t="s">
        <v>11</v>
      </c>
      <c r="H1157" t="s">
        <v>32</v>
      </c>
    </row>
    <row r="1158" spans="1:8" x14ac:dyDescent="0.25">
      <c r="A1158" s="1">
        <v>45566</v>
      </c>
      <c r="B1158" t="s">
        <v>33</v>
      </c>
      <c r="C1158" t="s">
        <v>44</v>
      </c>
      <c r="D1158" t="s">
        <v>45</v>
      </c>
      <c r="E1158">
        <v>16</v>
      </c>
      <c r="F1158" s="3">
        <v>4832</v>
      </c>
      <c r="G1158" t="s">
        <v>31</v>
      </c>
      <c r="H1158" t="s">
        <v>17</v>
      </c>
    </row>
    <row r="1159" spans="1:8" x14ac:dyDescent="0.25">
      <c r="A1159" s="1">
        <v>45013</v>
      </c>
      <c r="B1159" t="s">
        <v>48</v>
      </c>
      <c r="C1159" t="s">
        <v>44</v>
      </c>
      <c r="D1159" t="s">
        <v>45</v>
      </c>
      <c r="E1159">
        <v>10</v>
      </c>
      <c r="F1159" s="3">
        <v>15420</v>
      </c>
      <c r="G1159" t="s">
        <v>31</v>
      </c>
      <c r="H1159" t="s">
        <v>43</v>
      </c>
    </row>
    <row r="1160" spans="1:8" x14ac:dyDescent="0.25">
      <c r="A1160" s="1">
        <v>45429</v>
      </c>
      <c r="B1160" t="s">
        <v>13</v>
      </c>
      <c r="C1160" t="s">
        <v>25</v>
      </c>
      <c r="D1160" t="s">
        <v>26</v>
      </c>
      <c r="E1160">
        <v>15</v>
      </c>
      <c r="F1160" s="3">
        <v>3135</v>
      </c>
      <c r="G1160" t="s">
        <v>27</v>
      </c>
      <c r="H1160" t="s">
        <v>34</v>
      </c>
    </row>
    <row r="1161" spans="1:8" x14ac:dyDescent="0.25">
      <c r="A1161" s="1">
        <v>44992</v>
      </c>
      <c r="B1161" t="s">
        <v>48</v>
      </c>
      <c r="C1161" t="s">
        <v>41</v>
      </c>
      <c r="D1161" t="s">
        <v>26</v>
      </c>
      <c r="E1161">
        <v>11</v>
      </c>
      <c r="F1161" s="3">
        <v>14960</v>
      </c>
      <c r="G1161" t="s">
        <v>16</v>
      </c>
      <c r="H1161" t="s">
        <v>32</v>
      </c>
    </row>
    <row r="1162" spans="1:8" x14ac:dyDescent="0.25">
      <c r="A1162" s="1">
        <v>45421</v>
      </c>
      <c r="B1162" t="s">
        <v>13</v>
      </c>
      <c r="C1162" t="s">
        <v>41</v>
      </c>
      <c r="D1162" t="s">
        <v>26</v>
      </c>
      <c r="E1162">
        <v>3</v>
      </c>
      <c r="F1162" s="3">
        <v>2430</v>
      </c>
      <c r="G1162" t="s">
        <v>11</v>
      </c>
      <c r="H1162" t="s">
        <v>23</v>
      </c>
    </row>
    <row r="1163" spans="1:8" x14ac:dyDescent="0.25">
      <c r="A1163" s="1">
        <v>45203</v>
      </c>
      <c r="B1163" t="s">
        <v>33</v>
      </c>
      <c r="C1163" t="s">
        <v>9</v>
      </c>
      <c r="D1163" t="s">
        <v>10</v>
      </c>
      <c r="E1163">
        <v>11</v>
      </c>
      <c r="F1163" s="3">
        <v>4279</v>
      </c>
      <c r="G1163" t="s">
        <v>16</v>
      </c>
      <c r="H1163" t="s">
        <v>28</v>
      </c>
    </row>
    <row r="1164" spans="1:8" x14ac:dyDescent="0.25">
      <c r="A1164" s="1">
        <v>44991</v>
      </c>
      <c r="B1164" t="s">
        <v>48</v>
      </c>
      <c r="C1164" t="s">
        <v>35</v>
      </c>
      <c r="D1164" t="s">
        <v>36</v>
      </c>
      <c r="E1164">
        <v>20</v>
      </c>
      <c r="F1164" s="3">
        <v>37460</v>
      </c>
      <c r="G1164" t="s">
        <v>31</v>
      </c>
      <c r="H1164" t="s">
        <v>34</v>
      </c>
    </row>
    <row r="1165" spans="1:8" x14ac:dyDescent="0.25">
      <c r="A1165" s="1">
        <v>45137</v>
      </c>
      <c r="B1165" t="s">
        <v>20</v>
      </c>
      <c r="C1165" t="s">
        <v>25</v>
      </c>
      <c r="D1165" t="s">
        <v>26</v>
      </c>
      <c r="E1165">
        <v>13</v>
      </c>
      <c r="F1165" s="3">
        <v>23582</v>
      </c>
      <c r="G1165" t="s">
        <v>11</v>
      </c>
      <c r="H1165" t="s">
        <v>34</v>
      </c>
    </row>
    <row r="1166" spans="1:8" x14ac:dyDescent="0.25">
      <c r="A1166" s="1">
        <v>45597</v>
      </c>
      <c r="B1166" t="s">
        <v>8</v>
      </c>
      <c r="C1166" t="s">
        <v>25</v>
      </c>
      <c r="D1166" t="s">
        <v>26</v>
      </c>
      <c r="E1166">
        <v>16</v>
      </c>
      <c r="F1166" s="3">
        <v>31200</v>
      </c>
      <c r="G1166" t="s">
        <v>27</v>
      </c>
      <c r="H1166" t="s">
        <v>28</v>
      </c>
    </row>
    <row r="1167" spans="1:8" x14ac:dyDescent="0.25">
      <c r="A1167" s="1">
        <v>45029</v>
      </c>
      <c r="B1167" t="s">
        <v>40</v>
      </c>
      <c r="C1167" t="s">
        <v>38</v>
      </c>
      <c r="D1167" t="s">
        <v>22</v>
      </c>
      <c r="E1167">
        <v>6</v>
      </c>
      <c r="F1167" s="3">
        <v>7824</v>
      </c>
      <c r="G1167" t="s">
        <v>31</v>
      </c>
      <c r="H1167" t="s">
        <v>12</v>
      </c>
    </row>
    <row r="1168" spans="1:8" x14ac:dyDescent="0.25">
      <c r="A1168" s="1">
        <v>45426</v>
      </c>
      <c r="B1168" t="s">
        <v>13</v>
      </c>
      <c r="C1168" t="s">
        <v>35</v>
      </c>
      <c r="D1168" t="s">
        <v>36</v>
      </c>
      <c r="E1168">
        <v>4</v>
      </c>
      <c r="F1168" s="3">
        <v>2260</v>
      </c>
      <c r="G1168" t="s">
        <v>31</v>
      </c>
      <c r="H1168" t="s">
        <v>17</v>
      </c>
    </row>
    <row r="1169" spans="1:8" x14ac:dyDescent="0.25">
      <c r="A1169" s="1">
        <v>45106</v>
      </c>
      <c r="B1169" t="s">
        <v>18</v>
      </c>
      <c r="C1169" t="s">
        <v>21</v>
      </c>
      <c r="D1169" t="s">
        <v>22</v>
      </c>
      <c r="E1169">
        <v>12</v>
      </c>
      <c r="F1169" s="3">
        <v>1920</v>
      </c>
      <c r="G1169" t="s">
        <v>16</v>
      </c>
      <c r="H1169" t="s">
        <v>32</v>
      </c>
    </row>
    <row r="1170" spans="1:8" x14ac:dyDescent="0.25">
      <c r="A1170" s="1">
        <v>45635</v>
      </c>
      <c r="B1170" t="s">
        <v>42</v>
      </c>
      <c r="C1170" t="s">
        <v>14</v>
      </c>
      <c r="D1170" t="s">
        <v>15</v>
      </c>
      <c r="E1170">
        <v>14</v>
      </c>
      <c r="F1170" s="3">
        <v>19964</v>
      </c>
      <c r="G1170" t="s">
        <v>39</v>
      </c>
      <c r="H1170" t="s">
        <v>23</v>
      </c>
    </row>
    <row r="1171" spans="1:8" x14ac:dyDescent="0.25">
      <c r="A1171" s="1">
        <v>46002</v>
      </c>
      <c r="B1171" t="s">
        <v>42</v>
      </c>
      <c r="C1171" t="s">
        <v>21</v>
      </c>
      <c r="D1171" t="s">
        <v>22</v>
      </c>
      <c r="E1171">
        <v>10</v>
      </c>
      <c r="F1171" s="3">
        <v>10270</v>
      </c>
      <c r="G1171" t="s">
        <v>16</v>
      </c>
      <c r="H1171" t="s">
        <v>28</v>
      </c>
    </row>
    <row r="1172" spans="1:8" x14ac:dyDescent="0.25">
      <c r="A1172" s="1">
        <v>45959</v>
      </c>
      <c r="B1172" t="s">
        <v>33</v>
      </c>
      <c r="C1172" t="s">
        <v>37</v>
      </c>
      <c r="D1172" t="s">
        <v>15</v>
      </c>
      <c r="E1172">
        <v>15</v>
      </c>
      <c r="F1172" s="3">
        <v>8595</v>
      </c>
      <c r="G1172" t="s">
        <v>11</v>
      </c>
      <c r="H1172" t="s">
        <v>34</v>
      </c>
    </row>
    <row r="1173" spans="1:8" x14ac:dyDescent="0.25">
      <c r="A1173" s="1">
        <v>45199</v>
      </c>
      <c r="B1173" t="s">
        <v>24</v>
      </c>
      <c r="C1173" t="s">
        <v>38</v>
      </c>
      <c r="D1173" t="s">
        <v>22</v>
      </c>
      <c r="E1173">
        <v>19</v>
      </c>
      <c r="F1173" s="3">
        <v>22097</v>
      </c>
      <c r="G1173" t="s">
        <v>16</v>
      </c>
      <c r="H1173" t="s">
        <v>28</v>
      </c>
    </row>
    <row r="1174" spans="1:8" x14ac:dyDescent="0.25">
      <c r="A1174" s="1">
        <v>45696</v>
      </c>
      <c r="B1174" t="s">
        <v>47</v>
      </c>
      <c r="C1174" t="s">
        <v>38</v>
      </c>
      <c r="D1174" t="s">
        <v>22</v>
      </c>
      <c r="E1174">
        <v>10</v>
      </c>
      <c r="F1174" s="3">
        <v>13640</v>
      </c>
      <c r="G1174" t="s">
        <v>39</v>
      </c>
      <c r="H1174" t="s">
        <v>19</v>
      </c>
    </row>
    <row r="1175" spans="1:8" x14ac:dyDescent="0.25">
      <c r="A1175" s="1">
        <v>45030</v>
      </c>
      <c r="B1175" t="s">
        <v>40</v>
      </c>
      <c r="C1175" t="s">
        <v>21</v>
      </c>
      <c r="D1175" t="s">
        <v>22</v>
      </c>
      <c r="E1175">
        <v>18</v>
      </c>
      <c r="F1175" s="3">
        <v>12564</v>
      </c>
      <c r="G1175" t="s">
        <v>27</v>
      </c>
      <c r="H1175" t="s">
        <v>34</v>
      </c>
    </row>
    <row r="1176" spans="1:8" x14ac:dyDescent="0.25">
      <c r="A1176" s="1">
        <v>45905</v>
      </c>
      <c r="B1176" t="s">
        <v>24</v>
      </c>
      <c r="C1176" t="s">
        <v>38</v>
      </c>
      <c r="D1176" t="s">
        <v>22</v>
      </c>
      <c r="E1176">
        <v>13</v>
      </c>
      <c r="F1176" s="3">
        <v>19552</v>
      </c>
      <c r="G1176" t="s">
        <v>11</v>
      </c>
      <c r="H1176" t="s">
        <v>43</v>
      </c>
    </row>
    <row r="1177" spans="1:8" x14ac:dyDescent="0.25">
      <c r="A1177" s="1">
        <v>45650</v>
      </c>
      <c r="B1177" t="s">
        <v>42</v>
      </c>
      <c r="C1177" t="s">
        <v>37</v>
      </c>
      <c r="D1177" t="s">
        <v>15</v>
      </c>
      <c r="E1177">
        <v>17</v>
      </c>
      <c r="F1177" s="3">
        <v>2142</v>
      </c>
      <c r="G1177" t="s">
        <v>31</v>
      </c>
      <c r="H1177" t="s">
        <v>34</v>
      </c>
    </row>
    <row r="1178" spans="1:8" x14ac:dyDescent="0.25">
      <c r="A1178" s="1">
        <v>45647</v>
      </c>
      <c r="B1178" t="s">
        <v>42</v>
      </c>
      <c r="C1178" t="s">
        <v>14</v>
      </c>
      <c r="D1178" t="s">
        <v>15</v>
      </c>
      <c r="E1178">
        <v>14</v>
      </c>
      <c r="F1178" s="3">
        <v>6972</v>
      </c>
      <c r="G1178" t="s">
        <v>39</v>
      </c>
      <c r="H1178" t="s">
        <v>17</v>
      </c>
    </row>
    <row r="1179" spans="1:8" x14ac:dyDescent="0.25">
      <c r="A1179" s="1">
        <v>45338</v>
      </c>
      <c r="B1179" t="s">
        <v>47</v>
      </c>
      <c r="C1179" t="s">
        <v>14</v>
      </c>
      <c r="D1179" t="s">
        <v>15</v>
      </c>
      <c r="E1179">
        <v>16</v>
      </c>
      <c r="F1179" s="3">
        <v>22896</v>
      </c>
      <c r="G1179" t="s">
        <v>11</v>
      </c>
      <c r="H1179" t="s">
        <v>28</v>
      </c>
    </row>
    <row r="1180" spans="1:8" x14ac:dyDescent="0.25">
      <c r="A1180" s="1">
        <v>45031</v>
      </c>
      <c r="B1180" t="s">
        <v>40</v>
      </c>
      <c r="C1180" t="s">
        <v>25</v>
      </c>
      <c r="D1180" t="s">
        <v>26</v>
      </c>
      <c r="E1180">
        <v>9</v>
      </c>
      <c r="F1180" s="3">
        <v>12294</v>
      </c>
      <c r="G1180" t="s">
        <v>31</v>
      </c>
      <c r="H1180" t="s">
        <v>28</v>
      </c>
    </row>
    <row r="1181" spans="1:8" x14ac:dyDescent="0.25">
      <c r="A1181" s="1">
        <v>45493</v>
      </c>
      <c r="B1181" t="s">
        <v>20</v>
      </c>
      <c r="C1181" t="s">
        <v>21</v>
      </c>
      <c r="D1181" t="s">
        <v>22</v>
      </c>
      <c r="E1181">
        <v>2</v>
      </c>
      <c r="F1181" s="3">
        <v>3374</v>
      </c>
      <c r="G1181" t="s">
        <v>39</v>
      </c>
      <c r="H1181" t="s">
        <v>17</v>
      </c>
    </row>
    <row r="1182" spans="1:8" x14ac:dyDescent="0.25">
      <c r="A1182" s="1">
        <v>45181</v>
      </c>
      <c r="B1182" t="s">
        <v>24</v>
      </c>
      <c r="C1182" t="s">
        <v>37</v>
      </c>
      <c r="D1182" t="s">
        <v>15</v>
      </c>
      <c r="E1182">
        <v>7</v>
      </c>
      <c r="F1182" s="3">
        <v>2625</v>
      </c>
      <c r="G1182" t="s">
        <v>11</v>
      </c>
      <c r="H1182" t="s">
        <v>32</v>
      </c>
    </row>
    <row r="1183" spans="1:8" x14ac:dyDescent="0.25">
      <c r="A1183" s="1">
        <v>45600</v>
      </c>
      <c r="B1183" t="s">
        <v>8</v>
      </c>
      <c r="C1183" t="s">
        <v>14</v>
      </c>
      <c r="D1183" t="s">
        <v>15</v>
      </c>
      <c r="E1183">
        <v>9</v>
      </c>
      <c r="F1183" s="3">
        <v>7452</v>
      </c>
      <c r="G1183" t="s">
        <v>27</v>
      </c>
      <c r="H1183" t="s">
        <v>17</v>
      </c>
    </row>
    <row r="1184" spans="1:8" x14ac:dyDescent="0.25">
      <c r="A1184" s="1">
        <v>45275</v>
      </c>
      <c r="B1184" t="s">
        <v>42</v>
      </c>
      <c r="C1184" t="s">
        <v>30</v>
      </c>
      <c r="D1184" t="s">
        <v>15</v>
      </c>
      <c r="E1184">
        <v>18</v>
      </c>
      <c r="F1184" s="3">
        <v>17370</v>
      </c>
      <c r="G1184" t="s">
        <v>39</v>
      </c>
      <c r="H1184" t="s">
        <v>28</v>
      </c>
    </row>
    <row r="1185" spans="1:8" x14ac:dyDescent="0.25">
      <c r="A1185" s="1">
        <v>45886</v>
      </c>
      <c r="B1185" t="s">
        <v>46</v>
      </c>
      <c r="C1185" t="s">
        <v>21</v>
      </c>
      <c r="D1185" t="s">
        <v>22</v>
      </c>
      <c r="E1185">
        <v>13</v>
      </c>
      <c r="F1185" s="3">
        <v>19734</v>
      </c>
      <c r="G1185" t="s">
        <v>31</v>
      </c>
      <c r="H1185" t="s">
        <v>43</v>
      </c>
    </row>
    <row r="1186" spans="1:8" x14ac:dyDescent="0.25">
      <c r="A1186" s="1">
        <v>45258</v>
      </c>
      <c r="B1186" t="s">
        <v>8</v>
      </c>
      <c r="C1186" t="s">
        <v>21</v>
      </c>
      <c r="D1186" t="s">
        <v>22</v>
      </c>
      <c r="E1186">
        <v>20</v>
      </c>
      <c r="F1186" s="3">
        <v>36600</v>
      </c>
      <c r="G1186" t="s">
        <v>31</v>
      </c>
      <c r="H1186" t="s">
        <v>23</v>
      </c>
    </row>
    <row r="1187" spans="1:8" x14ac:dyDescent="0.25">
      <c r="A1187" s="1">
        <v>45159</v>
      </c>
      <c r="B1187" t="s">
        <v>46</v>
      </c>
      <c r="C1187" t="s">
        <v>21</v>
      </c>
      <c r="D1187" t="s">
        <v>22</v>
      </c>
      <c r="E1187">
        <v>20</v>
      </c>
      <c r="F1187" s="3">
        <v>21180</v>
      </c>
      <c r="G1187" t="s">
        <v>31</v>
      </c>
      <c r="H1187" t="s">
        <v>32</v>
      </c>
    </row>
    <row r="1188" spans="1:8" x14ac:dyDescent="0.25">
      <c r="A1188" s="1">
        <v>45002</v>
      </c>
      <c r="B1188" t="s">
        <v>48</v>
      </c>
      <c r="C1188" t="s">
        <v>44</v>
      </c>
      <c r="D1188" t="s">
        <v>45</v>
      </c>
      <c r="E1188">
        <v>9</v>
      </c>
      <c r="F1188" s="3">
        <v>4698</v>
      </c>
      <c r="G1188" t="s">
        <v>11</v>
      </c>
      <c r="H1188" t="s">
        <v>19</v>
      </c>
    </row>
    <row r="1189" spans="1:8" x14ac:dyDescent="0.25">
      <c r="A1189" s="1">
        <v>45248</v>
      </c>
      <c r="B1189" t="s">
        <v>8</v>
      </c>
      <c r="C1189" t="s">
        <v>25</v>
      </c>
      <c r="D1189" t="s">
        <v>26</v>
      </c>
      <c r="E1189">
        <v>11</v>
      </c>
      <c r="F1189" s="3">
        <v>15741</v>
      </c>
      <c r="G1189" t="s">
        <v>11</v>
      </c>
      <c r="H1189" t="s">
        <v>32</v>
      </c>
    </row>
    <row r="1190" spans="1:8" x14ac:dyDescent="0.25">
      <c r="A1190" s="1">
        <v>45175</v>
      </c>
      <c r="B1190" t="s">
        <v>24</v>
      </c>
      <c r="C1190" t="s">
        <v>14</v>
      </c>
      <c r="D1190" t="s">
        <v>15</v>
      </c>
      <c r="E1190">
        <v>17</v>
      </c>
      <c r="F1190" s="3">
        <v>6477</v>
      </c>
      <c r="G1190" t="s">
        <v>16</v>
      </c>
      <c r="H1190" t="s">
        <v>28</v>
      </c>
    </row>
    <row r="1191" spans="1:8" x14ac:dyDescent="0.25">
      <c r="A1191" s="1">
        <v>45391</v>
      </c>
      <c r="B1191" t="s">
        <v>40</v>
      </c>
      <c r="C1191" t="s">
        <v>38</v>
      </c>
      <c r="D1191" t="s">
        <v>22</v>
      </c>
      <c r="E1191">
        <v>10</v>
      </c>
      <c r="F1191" s="3">
        <v>9030</v>
      </c>
      <c r="G1191" t="s">
        <v>31</v>
      </c>
      <c r="H1191" t="s">
        <v>32</v>
      </c>
    </row>
    <row r="1192" spans="1:8" x14ac:dyDescent="0.25">
      <c r="A1192" s="1">
        <v>45530</v>
      </c>
      <c r="B1192" t="s">
        <v>46</v>
      </c>
      <c r="C1192" t="s">
        <v>35</v>
      </c>
      <c r="D1192" t="s">
        <v>36</v>
      </c>
      <c r="E1192">
        <v>19</v>
      </c>
      <c r="F1192" s="3">
        <v>14383</v>
      </c>
      <c r="G1192" t="s">
        <v>11</v>
      </c>
      <c r="H1192" t="s">
        <v>28</v>
      </c>
    </row>
    <row r="1193" spans="1:8" x14ac:dyDescent="0.25">
      <c r="A1193" s="1">
        <v>45921</v>
      </c>
      <c r="B1193" t="s">
        <v>24</v>
      </c>
      <c r="C1193" t="s">
        <v>37</v>
      </c>
      <c r="D1193" t="s">
        <v>15</v>
      </c>
      <c r="E1193">
        <v>10</v>
      </c>
      <c r="F1193" s="3">
        <v>11110</v>
      </c>
      <c r="G1193" t="s">
        <v>39</v>
      </c>
      <c r="H1193" t="s">
        <v>17</v>
      </c>
    </row>
    <row r="1194" spans="1:8" x14ac:dyDescent="0.25">
      <c r="A1194" s="1">
        <v>45431</v>
      </c>
      <c r="B1194" t="s">
        <v>13</v>
      </c>
      <c r="C1194" t="s">
        <v>21</v>
      </c>
      <c r="D1194" t="s">
        <v>22</v>
      </c>
      <c r="E1194">
        <v>8</v>
      </c>
      <c r="F1194" s="3">
        <v>6488</v>
      </c>
      <c r="G1194" t="s">
        <v>11</v>
      </c>
      <c r="H1194" t="s">
        <v>19</v>
      </c>
    </row>
    <row r="1195" spans="1:8" x14ac:dyDescent="0.25">
      <c r="A1195" s="1">
        <v>45719</v>
      </c>
      <c r="B1195" t="s">
        <v>48</v>
      </c>
      <c r="C1195" t="s">
        <v>38</v>
      </c>
      <c r="D1195" t="s">
        <v>22</v>
      </c>
      <c r="E1195">
        <v>20</v>
      </c>
      <c r="F1195" s="3">
        <v>12260</v>
      </c>
      <c r="G1195" t="s">
        <v>31</v>
      </c>
      <c r="H1195" t="s">
        <v>32</v>
      </c>
    </row>
    <row r="1196" spans="1:8" x14ac:dyDescent="0.25">
      <c r="A1196" s="1">
        <v>45567</v>
      </c>
      <c r="B1196" t="s">
        <v>33</v>
      </c>
      <c r="C1196" t="s">
        <v>25</v>
      </c>
      <c r="D1196" t="s">
        <v>26</v>
      </c>
      <c r="E1196">
        <v>4</v>
      </c>
      <c r="F1196" s="3">
        <v>4828</v>
      </c>
      <c r="G1196" t="s">
        <v>11</v>
      </c>
      <c r="H1196" t="s">
        <v>43</v>
      </c>
    </row>
    <row r="1197" spans="1:8" x14ac:dyDescent="0.25">
      <c r="A1197" s="1">
        <v>45799</v>
      </c>
      <c r="B1197" t="s">
        <v>13</v>
      </c>
      <c r="C1197" t="s">
        <v>21</v>
      </c>
      <c r="D1197" t="s">
        <v>22</v>
      </c>
      <c r="E1197">
        <v>10</v>
      </c>
      <c r="F1197" s="3">
        <v>18820</v>
      </c>
      <c r="G1197" t="s">
        <v>31</v>
      </c>
      <c r="H1197" t="s">
        <v>32</v>
      </c>
    </row>
    <row r="1198" spans="1:8" x14ac:dyDescent="0.25">
      <c r="A1198" s="1">
        <v>45104</v>
      </c>
      <c r="B1198" t="s">
        <v>18</v>
      </c>
      <c r="C1198" t="s">
        <v>9</v>
      </c>
      <c r="D1198" t="s">
        <v>10</v>
      </c>
      <c r="E1198">
        <v>13</v>
      </c>
      <c r="F1198" s="3">
        <v>9711</v>
      </c>
      <c r="G1198" t="s">
        <v>39</v>
      </c>
      <c r="H1198" t="s">
        <v>19</v>
      </c>
    </row>
    <row r="1199" spans="1:8" x14ac:dyDescent="0.25">
      <c r="A1199" s="1">
        <v>45961</v>
      </c>
      <c r="B1199" t="s">
        <v>33</v>
      </c>
      <c r="C1199" t="s">
        <v>30</v>
      </c>
      <c r="D1199" t="s">
        <v>15</v>
      </c>
      <c r="E1199">
        <v>11</v>
      </c>
      <c r="F1199" s="3">
        <v>15048</v>
      </c>
      <c r="G1199" t="s">
        <v>16</v>
      </c>
      <c r="H1199" t="s">
        <v>34</v>
      </c>
    </row>
    <row r="1200" spans="1:8" x14ac:dyDescent="0.25">
      <c r="A1200" s="1">
        <v>45653</v>
      </c>
      <c r="B1200" t="s">
        <v>42</v>
      </c>
      <c r="C1200" t="s">
        <v>9</v>
      </c>
      <c r="D1200" t="s">
        <v>10</v>
      </c>
      <c r="E1200">
        <v>6</v>
      </c>
      <c r="F1200" s="3">
        <v>1554</v>
      </c>
      <c r="G1200" t="s">
        <v>31</v>
      </c>
      <c r="H1200" t="s">
        <v>23</v>
      </c>
    </row>
    <row r="1201" spans="1:8" x14ac:dyDescent="0.25">
      <c r="A1201" s="1">
        <v>45043</v>
      </c>
      <c r="B1201" t="s">
        <v>40</v>
      </c>
      <c r="C1201" t="s">
        <v>14</v>
      </c>
      <c r="D1201" t="s">
        <v>15</v>
      </c>
      <c r="E1201">
        <v>15</v>
      </c>
      <c r="F1201" s="3">
        <v>24810</v>
      </c>
      <c r="G1201" t="s">
        <v>11</v>
      </c>
      <c r="H1201" t="s">
        <v>28</v>
      </c>
    </row>
    <row r="1202" spans="1:8" x14ac:dyDescent="0.25">
      <c r="A1202" s="1">
        <v>45109</v>
      </c>
      <c r="B1202" t="s">
        <v>20</v>
      </c>
      <c r="C1202" t="s">
        <v>41</v>
      </c>
      <c r="D1202" t="s">
        <v>26</v>
      </c>
      <c r="E1202">
        <v>3</v>
      </c>
      <c r="F1202" s="3">
        <v>3879</v>
      </c>
      <c r="G1202" t="s">
        <v>16</v>
      </c>
      <c r="H1202" t="s">
        <v>28</v>
      </c>
    </row>
    <row r="1203" spans="1:8" x14ac:dyDescent="0.25">
      <c r="A1203" s="1">
        <v>45964</v>
      </c>
      <c r="B1203" t="s">
        <v>8</v>
      </c>
      <c r="C1203" t="s">
        <v>35</v>
      </c>
      <c r="D1203" t="s">
        <v>36</v>
      </c>
      <c r="E1203">
        <v>6</v>
      </c>
      <c r="F1203" s="3">
        <v>11778</v>
      </c>
      <c r="G1203" t="s">
        <v>11</v>
      </c>
      <c r="H1203" t="s">
        <v>23</v>
      </c>
    </row>
    <row r="1204" spans="1:8" x14ac:dyDescent="0.25">
      <c r="A1204" s="1">
        <v>45452</v>
      </c>
      <c r="B1204" t="s">
        <v>18</v>
      </c>
      <c r="C1204" t="s">
        <v>37</v>
      </c>
      <c r="D1204" t="s">
        <v>15</v>
      </c>
      <c r="E1204">
        <v>2</v>
      </c>
      <c r="F1204" s="3">
        <v>2308</v>
      </c>
      <c r="G1204" t="s">
        <v>39</v>
      </c>
      <c r="H1204" t="s">
        <v>23</v>
      </c>
    </row>
    <row r="1205" spans="1:8" x14ac:dyDescent="0.25">
      <c r="A1205" s="1">
        <v>45541</v>
      </c>
      <c r="B1205" t="s">
        <v>24</v>
      </c>
      <c r="C1205" t="s">
        <v>37</v>
      </c>
      <c r="D1205" t="s">
        <v>15</v>
      </c>
      <c r="E1205">
        <v>10</v>
      </c>
      <c r="F1205" s="3">
        <v>11930</v>
      </c>
      <c r="G1205" t="s">
        <v>11</v>
      </c>
      <c r="H1205" t="s">
        <v>43</v>
      </c>
    </row>
    <row r="1206" spans="1:8" x14ac:dyDescent="0.25">
      <c r="A1206" s="1">
        <v>45054</v>
      </c>
      <c r="B1206" t="s">
        <v>13</v>
      </c>
      <c r="C1206" t="s">
        <v>9</v>
      </c>
      <c r="D1206" t="s">
        <v>10</v>
      </c>
      <c r="E1206">
        <v>11</v>
      </c>
      <c r="F1206" s="3">
        <v>15928</v>
      </c>
      <c r="G1206" t="s">
        <v>27</v>
      </c>
      <c r="H1206" t="s">
        <v>32</v>
      </c>
    </row>
    <row r="1207" spans="1:8" x14ac:dyDescent="0.25">
      <c r="A1207" s="1">
        <v>45649</v>
      </c>
      <c r="B1207" t="s">
        <v>42</v>
      </c>
      <c r="C1207" t="s">
        <v>41</v>
      </c>
      <c r="D1207" t="s">
        <v>26</v>
      </c>
      <c r="E1207">
        <v>2</v>
      </c>
      <c r="F1207" s="3">
        <v>3716</v>
      </c>
      <c r="G1207" t="s">
        <v>27</v>
      </c>
      <c r="H1207" t="s">
        <v>17</v>
      </c>
    </row>
    <row r="1208" spans="1:8" x14ac:dyDescent="0.25">
      <c r="A1208" s="1">
        <v>45815</v>
      </c>
      <c r="B1208" t="s">
        <v>18</v>
      </c>
      <c r="C1208" t="s">
        <v>41</v>
      </c>
      <c r="D1208" t="s">
        <v>26</v>
      </c>
      <c r="E1208">
        <v>8</v>
      </c>
      <c r="F1208" s="3">
        <v>11208</v>
      </c>
      <c r="G1208" t="s">
        <v>16</v>
      </c>
      <c r="H1208" t="s">
        <v>32</v>
      </c>
    </row>
    <row r="1209" spans="1:8" x14ac:dyDescent="0.25">
      <c r="A1209" s="1">
        <v>44955</v>
      </c>
      <c r="B1209" t="s">
        <v>29</v>
      </c>
      <c r="C1209" t="s">
        <v>35</v>
      </c>
      <c r="D1209" t="s">
        <v>36</v>
      </c>
      <c r="E1209">
        <v>9</v>
      </c>
      <c r="F1209" s="3">
        <v>6777</v>
      </c>
      <c r="G1209" t="s">
        <v>11</v>
      </c>
      <c r="H1209" t="s">
        <v>17</v>
      </c>
    </row>
    <row r="1210" spans="1:8" x14ac:dyDescent="0.25">
      <c r="A1210" s="1">
        <v>45615</v>
      </c>
      <c r="B1210" t="s">
        <v>8</v>
      </c>
      <c r="C1210" t="s">
        <v>35</v>
      </c>
      <c r="D1210" t="s">
        <v>36</v>
      </c>
      <c r="E1210">
        <v>7</v>
      </c>
      <c r="F1210" s="3">
        <v>7525</v>
      </c>
      <c r="G1210" t="s">
        <v>16</v>
      </c>
      <c r="H1210" t="s">
        <v>28</v>
      </c>
    </row>
    <row r="1211" spans="1:8" x14ac:dyDescent="0.25">
      <c r="A1211" s="1">
        <v>45693</v>
      </c>
      <c r="B1211" t="s">
        <v>47</v>
      </c>
      <c r="C1211" t="s">
        <v>14</v>
      </c>
      <c r="D1211" t="s">
        <v>15</v>
      </c>
      <c r="E1211">
        <v>1</v>
      </c>
      <c r="F1211" s="3">
        <v>1726</v>
      </c>
      <c r="G1211" t="s">
        <v>39</v>
      </c>
      <c r="H1211" t="s">
        <v>12</v>
      </c>
    </row>
    <row r="1212" spans="1:8" x14ac:dyDescent="0.25">
      <c r="A1212" s="1">
        <v>45298</v>
      </c>
      <c r="B1212" t="s">
        <v>29</v>
      </c>
      <c r="C1212" t="s">
        <v>14</v>
      </c>
      <c r="D1212" t="s">
        <v>15</v>
      </c>
      <c r="E1212">
        <v>9</v>
      </c>
      <c r="F1212" s="3">
        <v>6759</v>
      </c>
      <c r="G1212" t="s">
        <v>11</v>
      </c>
      <c r="H1212" t="s">
        <v>34</v>
      </c>
    </row>
    <row r="1213" spans="1:8" x14ac:dyDescent="0.25">
      <c r="A1213" s="1">
        <v>45256</v>
      </c>
      <c r="B1213" t="s">
        <v>8</v>
      </c>
      <c r="C1213" t="s">
        <v>14</v>
      </c>
      <c r="D1213" t="s">
        <v>15</v>
      </c>
      <c r="E1213">
        <v>5</v>
      </c>
      <c r="F1213" s="3">
        <v>2140</v>
      </c>
      <c r="G1213" t="s">
        <v>27</v>
      </c>
      <c r="H1213" t="s">
        <v>28</v>
      </c>
    </row>
    <row r="1214" spans="1:8" x14ac:dyDescent="0.25">
      <c r="A1214" s="1">
        <v>45720</v>
      </c>
      <c r="B1214" t="s">
        <v>48</v>
      </c>
      <c r="C1214" t="s">
        <v>30</v>
      </c>
      <c r="D1214" t="s">
        <v>15</v>
      </c>
      <c r="E1214">
        <v>6</v>
      </c>
      <c r="F1214" s="3">
        <v>10548</v>
      </c>
      <c r="G1214" t="s">
        <v>31</v>
      </c>
      <c r="H1214" t="s">
        <v>12</v>
      </c>
    </row>
    <row r="1215" spans="1:8" x14ac:dyDescent="0.25">
      <c r="A1215" s="1">
        <v>45843</v>
      </c>
      <c r="B1215" t="s">
        <v>20</v>
      </c>
      <c r="C1215" t="s">
        <v>30</v>
      </c>
      <c r="D1215" t="s">
        <v>15</v>
      </c>
      <c r="E1215">
        <v>12</v>
      </c>
      <c r="F1215" s="3">
        <v>3480</v>
      </c>
      <c r="G1215" t="s">
        <v>27</v>
      </c>
      <c r="H1215" t="s">
        <v>17</v>
      </c>
    </row>
    <row r="1216" spans="1:8" x14ac:dyDescent="0.25">
      <c r="A1216" s="1">
        <v>45146</v>
      </c>
      <c r="B1216" t="s">
        <v>46</v>
      </c>
      <c r="C1216" t="s">
        <v>37</v>
      </c>
      <c r="D1216" t="s">
        <v>15</v>
      </c>
      <c r="E1216">
        <v>20</v>
      </c>
      <c r="F1216" s="3">
        <v>14760</v>
      </c>
      <c r="G1216" t="s">
        <v>16</v>
      </c>
      <c r="H1216" t="s">
        <v>23</v>
      </c>
    </row>
    <row r="1217" spans="1:8" x14ac:dyDescent="0.25">
      <c r="A1217" s="1">
        <v>45645</v>
      </c>
      <c r="B1217" t="s">
        <v>42</v>
      </c>
      <c r="C1217" t="s">
        <v>44</v>
      </c>
      <c r="D1217" t="s">
        <v>45</v>
      </c>
      <c r="E1217">
        <v>5</v>
      </c>
      <c r="F1217" s="3">
        <v>8225</v>
      </c>
      <c r="G1217" t="s">
        <v>39</v>
      </c>
      <c r="H1217" t="s">
        <v>19</v>
      </c>
    </row>
    <row r="1218" spans="1:8" x14ac:dyDescent="0.25">
      <c r="A1218" s="1">
        <v>45275</v>
      </c>
      <c r="B1218" t="s">
        <v>42</v>
      </c>
      <c r="C1218" t="s">
        <v>44</v>
      </c>
      <c r="D1218" t="s">
        <v>45</v>
      </c>
      <c r="E1218">
        <v>14</v>
      </c>
      <c r="F1218" s="3">
        <v>19908</v>
      </c>
      <c r="G1218" t="s">
        <v>11</v>
      </c>
      <c r="H1218" t="s">
        <v>19</v>
      </c>
    </row>
    <row r="1219" spans="1:8" x14ac:dyDescent="0.25">
      <c r="A1219" s="1">
        <v>45330</v>
      </c>
      <c r="B1219" t="s">
        <v>47</v>
      </c>
      <c r="C1219" t="s">
        <v>21</v>
      </c>
      <c r="D1219" t="s">
        <v>22</v>
      </c>
      <c r="E1219">
        <v>17</v>
      </c>
      <c r="F1219" s="3">
        <v>18615</v>
      </c>
      <c r="G1219" t="s">
        <v>39</v>
      </c>
      <c r="H1219" t="s">
        <v>34</v>
      </c>
    </row>
    <row r="1220" spans="1:8" x14ac:dyDescent="0.25">
      <c r="A1220" s="1">
        <v>45463</v>
      </c>
      <c r="B1220" t="s">
        <v>18</v>
      </c>
      <c r="C1220" t="s">
        <v>30</v>
      </c>
      <c r="D1220" t="s">
        <v>15</v>
      </c>
      <c r="E1220">
        <v>18</v>
      </c>
      <c r="F1220" s="3">
        <v>2646</v>
      </c>
      <c r="G1220" t="s">
        <v>11</v>
      </c>
      <c r="H1220" t="s">
        <v>34</v>
      </c>
    </row>
    <row r="1221" spans="1:8" x14ac:dyDescent="0.25">
      <c r="A1221" s="1">
        <v>44935</v>
      </c>
      <c r="B1221" t="s">
        <v>29</v>
      </c>
      <c r="C1221" t="s">
        <v>44</v>
      </c>
      <c r="D1221" t="s">
        <v>45</v>
      </c>
      <c r="E1221">
        <v>5</v>
      </c>
      <c r="F1221" s="3">
        <v>6845</v>
      </c>
      <c r="G1221" t="s">
        <v>16</v>
      </c>
      <c r="H1221" t="s">
        <v>12</v>
      </c>
    </row>
    <row r="1222" spans="1:8" x14ac:dyDescent="0.25">
      <c r="A1222" s="1">
        <v>45963</v>
      </c>
      <c r="B1222" t="s">
        <v>8</v>
      </c>
      <c r="C1222" t="s">
        <v>9</v>
      </c>
      <c r="D1222" t="s">
        <v>10</v>
      </c>
      <c r="E1222">
        <v>6</v>
      </c>
      <c r="F1222" s="3">
        <v>11568</v>
      </c>
      <c r="G1222" t="s">
        <v>11</v>
      </c>
      <c r="H1222" t="s">
        <v>12</v>
      </c>
    </row>
    <row r="1223" spans="1:8" x14ac:dyDescent="0.25">
      <c r="A1223" s="1">
        <v>45841</v>
      </c>
      <c r="B1223" t="s">
        <v>20</v>
      </c>
      <c r="C1223" t="s">
        <v>30</v>
      </c>
      <c r="D1223" t="s">
        <v>15</v>
      </c>
      <c r="E1223">
        <v>11</v>
      </c>
      <c r="F1223" s="3">
        <v>12980</v>
      </c>
      <c r="G1223" t="s">
        <v>31</v>
      </c>
      <c r="H1223" t="s">
        <v>32</v>
      </c>
    </row>
    <row r="1224" spans="1:8" x14ac:dyDescent="0.25">
      <c r="A1224" s="1">
        <v>45865</v>
      </c>
      <c r="B1224" t="s">
        <v>20</v>
      </c>
      <c r="C1224" t="s">
        <v>14</v>
      </c>
      <c r="D1224" t="s">
        <v>15</v>
      </c>
      <c r="E1224">
        <v>2</v>
      </c>
      <c r="F1224" s="3">
        <v>1288</v>
      </c>
      <c r="G1224" t="s">
        <v>16</v>
      </c>
      <c r="H1224" t="s">
        <v>32</v>
      </c>
    </row>
    <row r="1225" spans="1:8" x14ac:dyDescent="0.25">
      <c r="A1225" s="1">
        <v>45556</v>
      </c>
      <c r="B1225" t="s">
        <v>24</v>
      </c>
      <c r="C1225" t="s">
        <v>38</v>
      </c>
      <c r="D1225" t="s">
        <v>22</v>
      </c>
      <c r="E1225">
        <v>9</v>
      </c>
      <c r="F1225" s="3">
        <v>6588</v>
      </c>
      <c r="G1225" t="s">
        <v>11</v>
      </c>
      <c r="H1225" t="s">
        <v>34</v>
      </c>
    </row>
    <row r="1226" spans="1:8" x14ac:dyDescent="0.25">
      <c r="A1226" s="1">
        <v>45713</v>
      </c>
      <c r="B1226" t="s">
        <v>47</v>
      </c>
      <c r="C1226" t="s">
        <v>14</v>
      </c>
      <c r="D1226" t="s">
        <v>15</v>
      </c>
      <c r="E1226">
        <v>14</v>
      </c>
      <c r="F1226" s="3">
        <v>5628</v>
      </c>
      <c r="G1226" t="s">
        <v>31</v>
      </c>
      <c r="H1226" t="s">
        <v>19</v>
      </c>
    </row>
    <row r="1227" spans="1:8" x14ac:dyDescent="0.25">
      <c r="A1227" s="1">
        <v>45156</v>
      </c>
      <c r="B1227" t="s">
        <v>46</v>
      </c>
      <c r="C1227" t="s">
        <v>30</v>
      </c>
      <c r="D1227" t="s">
        <v>15</v>
      </c>
      <c r="E1227">
        <v>2</v>
      </c>
      <c r="F1227" s="3">
        <v>2804</v>
      </c>
      <c r="G1227" t="s">
        <v>16</v>
      </c>
      <c r="H1227" t="s">
        <v>43</v>
      </c>
    </row>
    <row r="1228" spans="1:8" x14ac:dyDescent="0.25">
      <c r="A1228" s="1">
        <v>45375</v>
      </c>
      <c r="B1228" t="s">
        <v>48</v>
      </c>
      <c r="C1228" t="s">
        <v>21</v>
      </c>
      <c r="D1228" t="s">
        <v>22</v>
      </c>
      <c r="E1228">
        <v>2</v>
      </c>
      <c r="F1228" s="3">
        <v>974</v>
      </c>
      <c r="G1228" t="s">
        <v>39</v>
      </c>
      <c r="H1228" t="s">
        <v>34</v>
      </c>
    </row>
    <row r="1229" spans="1:8" x14ac:dyDescent="0.25">
      <c r="A1229" s="1">
        <v>45379</v>
      </c>
      <c r="B1229" t="s">
        <v>48</v>
      </c>
      <c r="C1229" t="s">
        <v>41</v>
      </c>
      <c r="D1229" t="s">
        <v>26</v>
      </c>
      <c r="E1229">
        <v>4</v>
      </c>
      <c r="F1229" s="3">
        <v>788</v>
      </c>
      <c r="G1229" t="s">
        <v>31</v>
      </c>
      <c r="H1229" t="s">
        <v>32</v>
      </c>
    </row>
    <row r="1230" spans="1:8" x14ac:dyDescent="0.25">
      <c r="A1230" s="1">
        <v>45956</v>
      </c>
      <c r="B1230" t="s">
        <v>33</v>
      </c>
      <c r="C1230" t="s">
        <v>25</v>
      </c>
      <c r="D1230" t="s">
        <v>26</v>
      </c>
      <c r="E1230">
        <v>15</v>
      </c>
      <c r="F1230" s="3">
        <v>7995</v>
      </c>
      <c r="G1230" t="s">
        <v>16</v>
      </c>
      <c r="H1230" t="s">
        <v>34</v>
      </c>
    </row>
    <row r="1231" spans="1:8" x14ac:dyDescent="0.25">
      <c r="A1231" s="1">
        <v>45219</v>
      </c>
      <c r="B1231" t="s">
        <v>33</v>
      </c>
      <c r="C1231" t="s">
        <v>30</v>
      </c>
      <c r="D1231" t="s">
        <v>15</v>
      </c>
      <c r="E1231">
        <v>11</v>
      </c>
      <c r="F1231" s="3">
        <v>10175</v>
      </c>
      <c r="G1231" t="s">
        <v>16</v>
      </c>
      <c r="H1231" t="s">
        <v>12</v>
      </c>
    </row>
    <row r="1232" spans="1:8" x14ac:dyDescent="0.25">
      <c r="A1232" s="1">
        <v>45182</v>
      </c>
      <c r="B1232" t="s">
        <v>24</v>
      </c>
      <c r="C1232" t="s">
        <v>38</v>
      </c>
      <c r="D1232" t="s">
        <v>22</v>
      </c>
      <c r="E1232">
        <v>10</v>
      </c>
      <c r="F1232" s="3">
        <v>6150</v>
      </c>
      <c r="G1232" t="s">
        <v>11</v>
      </c>
      <c r="H1232" t="s">
        <v>17</v>
      </c>
    </row>
    <row r="1233" spans="1:8" x14ac:dyDescent="0.25">
      <c r="A1233" s="1">
        <v>45774</v>
      </c>
      <c r="B1233" t="s">
        <v>40</v>
      </c>
      <c r="C1233" t="s">
        <v>30</v>
      </c>
      <c r="D1233" t="s">
        <v>15</v>
      </c>
      <c r="E1233">
        <v>2</v>
      </c>
      <c r="F1233" s="3">
        <v>3126</v>
      </c>
      <c r="G1233" t="s">
        <v>31</v>
      </c>
      <c r="H1233" t="s">
        <v>19</v>
      </c>
    </row>
    <row r="1234" spans="1:8" x14ac:dyDescent="0.25">
      <c r="A1234" s="1">
        <v>45165</v>
      </c>
      <c r="B1234" t="s">
        <v>46</v>
      </c>
      <c r="C1234" t="s">
        <v>14</v>
      </c>
      <c r="D1234" t="s">
        <v>15</v>
      </c>
      <c r="E1234">
        <v>6</v>
      </c>
      <c r="F1234" s="3">
        <v>10536</v>
      </c>
      <c r="G1234" t="s">
        <v>27</v>
      </c>
      <c r="H1234" t="s">
        <v>34</v>
      </c>
    </row>
    <row r="1235" spans="1:8" x14ac:dyDescent="0.25">
      <c r="A1235" s="1">
        <v>45724</v>
      </c>
      <c r="B1235" t="s">
        <v>48</v>
      </c>
      <c r="C1235" t="s">
        <v>9</v>
      </c>
      <c r="D1235" t="s">
        <v>10</v>
      </c>
      <c r="E1235">
        <v>13</v>
      </c>
      <c r="F1235" s="3">
        <v>9308</v>
      </c>
      <c r="G1235" t="s">
        <v>31</v>
      </c>
      <c r="H1235" t="s">
        <v>28</v>
      </c>
    </row>
    <row r="1236" spans="1:8" x14ac:dyDescent="0.25">
      <c r="A1236" s="1">
        <v>45610</v>
      </c>
      <c r="B1236" t="s">
        <v>8</v>
      </c>
      <c r="C1236" t="s">
        <v>44</v>
      </c>
      <c r="D1236" t="s">
        <v>45</v>
      </c>
      <c r="E1236">
        <v>6</v>
      </c>
      <c r="F1236" s="3">
        <v>3432</v>
      </c>
      <c r="G1236" t="s">
        <v>11</v>
      </c>
      <c r="H1236" t="s">
        <v>23</v>
      </c>
    </row>
    <row r="1237" spans="1:8" x14ac:dyDescent="0.25">
      <c r="A1237" s="1">
        <v>45247</v>
      </c>
      <c r="B1237" t="s">
        <v>8</v>
      </c>
      <c r="C1237" t="s">
        <v>38</v>
      </c>
      <c r="D1237" t="s">
        <v>22</v>
      </c>
      <c r="E1237">
        <v>11</v>
      </c>
      <c r="F1237" s="3">
        <v>13244</v>
      </c>
      <c r="G1237" t="s">
        <v>16</v>
      </c>
      <c r="H1237" t="s">
        <v>23</v>
      </c>
    </row>
    <row r="1238" spans="1:8" x14ac:dyDescent="0.25">
      <c r="A1238" s="1">
        <v>45470</v>
      </c>
      <c r="B1238" t="s">
        <v>18</v>
      </c>
      <c r="C1238" t="s">
        <v>41</v>
      </c>
      <c r="D1238" t="s">
        <v>26</v>
      </c>
      <c r="E1238">
        <v>12</v>
      </c>
      <c r="F1238" s="3">
        <v>8496</v>
      </c>
      <c r="G1238" t="s">
        <v>11</v>
      </c>
      <c r="H1238" t="s">
        <v>34</v>
      </c>
    </row>
    <row r="1239" spans="1:8" x14ac:dyDescent="0.25">
      <c r="A1239" s="1">
        <v>45583</v>
      </c>
      <c r="B1239" t="s">
        <v>33</v>
      </c>
      <c r="C1239" t="s">
        <v>41</v>
      </c>
      <c r="D1239" t="s">
        <v>26</v>
      </c>
      <c r="E1239">
        <v>18</v>
      </c>
      <c r="F1239" s="3">
        <v>25722</v>
      </c>
      <c r="G1239" t="s">
        <v>39</v>
      </c>
      <c r="H1239" t="s">
        <v>28</v>
      </c>
    </row>
    <row r="1240" spans="1:8" x14ac:dyDescent="0.25">
      <c r="A1240" s="1">
        <v>45056</v>
      </c>
      <c r="B1240" t="s">
        <v>13</v>
      </c>
      <c r="C1240" t="s">
        <v>41</v>
      </c>
      <c r="D1240" t="s">
        <v>26</v>
      </c>
      <c r="E1240">
        <v>19</v>
      </c>
      <c r="F1240" s="3">
        <v>8816</v>
      </c>
      <c r="G1240" t="s">
        <v>27</v>
      </c>
      <c r="H1240" t="s">
        <v>43</v>
      </c>
    </row>
    <row r="1241" spans="1:8" x14ac:dyDescent="0.25">
      <c r="A1241" s="1">
        <v>45880</v>
      </c>
      <c r="B1241" t="s">
        <v>46</v>
      </c>
      <c r="C1241" t="s">
        <v>44</v>
      </c>
      <c r="D1241" t="s">
        <v>45</v>
      </c>
      <c r="E1241">
        <v>7</v>
      </c>
      <c r="F1241" s="3">
        <v>9905</v>
      </c>
      <c r="G1241" t="s">
        <v>39</v>
      </c>
      <c r="H1241" t="s">
        <v>17</v>
      </c>
    </row>
    <row r="1242" spans="1:8" x14ac:dyDescent="0.25">
      <c r="A1242" s="1">
        <v>45937</v>
      </c>
      <c r="B1242" t="s">
        <v>33</v>
      </c>
      <c r="C1242" t="s">
        <v>37</v>
      </c>
      <c r="D1242" t="s">
        <v>15</v>
      </c>
      <c r="E1242">
        <v>5</v>
      </c>
      <c r="F1242" s="3">
        <v>1245</v>
      </c>
      <c r="G1242" t="s">
        <v>16</v>
      </c>
      <c r="H1242" t="s">
        <v>28</v>
      </c>
    </row>
    <row r="1243" spans="1:8" x14ac:dyDescent="0.25">
      <c r="A1243" s="1">
        <v>45526</v>
      </c>
      <c r="B1243" t="s">
        <v>46</v>
      </c>
      <c r="C1243" t="s">
        <v>30</v>
      </c>
      <c r="D1243" t="s">
        <v>15</v>
      </c>
      <c r="E1243">
        <v>4</v>
      </c>
      <c r="F1243" s="3">
        <v>1796</v>
      </c>
      <c r="G1243" t="s">
        <v>16</v>
      </c>
      <c r="H1243" t="s">
        <v>32</v>
      </c>
    </row>
    <row r="1244" spans="1:8" x14ac:dyDescent="0.25">
      <c r="A1244" s="1">
        <v>45755</v>
      </c>
      <c r="B1244" t="s">
        <v>40</v>
      </c>
      <c r="C1244" t="s">
        <v>25</v>
      </c>
      <c r="D1244" t="s">
        <v>26</v>
      </c>
      <c r="E1244">
        <v>7</v>
      </c>
      <c r="F1244" s="3">
        <v>5075</v>
      </c>
      <c r="G1244" t="s">
        <v>31</v>
      </c>
      <c r="H1244" t="s">
        <v>34</v>
      </c>
    </row>
    <row r="1245" spans="1:8" x14ac:dyDescent="0.25">
      <c r="A1245" s="1">
        <v>45874</v>
      </c>
      <c r="B1245" t="s">
        <v>46</v>
      </c>
      <c r="C1245" t="s">
        <v>41</v>
      </c>
      <c r="D1245" t="s">
        <v>26</v>
      </c>
      <c r="E1245">
        <v>20</v>
      </c>
      <c r="F1245" s="3">
        <v>33220</v>
      </c>
      <c r="G1245" t="s">
        <v>11</v>
      </c>
      <c r="H1245" t="s">
        <v>19</v>
      </c>
    </row>
    <row r="1246" spans="1:8" x14ac:dyDescent="0.25">
      <c r="A1246" s="1">
        <v>44982</v>
      </c>
      <c r="B1246" t="s">
        <v>47</v>
      </c>
      <c r="C1246" t="s">
        <v>44</v>
      </c>
      <c r="D1246" t="s">
        <v>45</v>
      </c>
      <c r="E1246">
        <v>3</v>
      </c>
      <c r="F1246" s="3">
        <v>3915</v>
      </c>
      <c r="G1246" t="s">
        <v>11</v>
      </c>
      <c r="H1246" t="s">
        <v>12</v>
      </c>
    </row>
    <row r="1247" spans="1:8" x14ac:dyDescent="0.25">
      <c r="A1247" s="1">
        <v>44942</v>
      </c>
      <c r="B1247" t="s">
        <v>29</v>
      </c>
      <c r="C1247" t="s">
        <v>38</v>
      </c>
      <c r="D1247" t="s">
        <v>22</v>
      </c>
      <c r="E1247">
        <v>1</v>
      </c>
      <c r="F1247" s="3">
        <v>1415</v>
      </c>
      <c r="G1247" t="s">
        <v>31</v>
      </c>
      <c r="H1247" t="s">
        <v>12</v>
      </c>
    </row>
    <row r="1248" spans="1:8" x14ac:dyDescent="0.25">
      <c r="A1248" s="1">
        <v>45139</v>
      </c>
      <c r="B1248" t="s">
        <v>46</v>
      </c>
      <c r="C1248" t="s">
        <v>25</v>
      </c>
      <c r="D1248" t="s">
        <v>26</v>
      </c>
      <c r="E1248">
        <v>14</v>
      </c>
      <c r="F1248" s="3">
        <v>5670</v>
      </c>
      <c r="G1248" t="s">
        <v>39</v>
      </c>
      <c r="H1248" t="s">
        <v>43</v>
      </c>
    </row>
    <row r="1249" spans="1:8" x14ac:dyDescent="0.25">
      <c r="A1249" s="1">
        <v>45103</v>
      </c>
      <c r="B1249" t="s">
        <v>18</v>
      </c>
      <c r="C1249" t="s">
        <v>30</v>
      </c>
      <c r="D1249" t="s">
        <v>15</v>
      </c>
      <c r="E1249">
        <v>2</v>
      </c>
      <c r="F1249" s="3">
        <v>2560</v>
      </c>
      <c r="G1249" t="s">
        <v>27</v>
      </c>
      <c r="H1249" t="s">
        <v>43</v>
      </c>
    </row>
    <row r="1250" spans="1:8" x14ac:dyDescent="0.25">
      <c r="A1250" s="1">
        <v>45546</v>
      </c>
      <c r="B1250" t="s">
        <v>24</v>
      </c>
      <c r="C1250" t="s">
        <v>21</v>
      </c>
      <c r="D1250" t="s">
        <v>22</v>
      </c>
      <c r="E1250">
        <v>3</v>
      </c>
      <c r="F1250" s="3">
        <v>2943</v>
      </c>
      <c r="G1250" t="s">
        <v>16</v>
      </c>
      <c r="H1250" t="s">
        <v>19</v>
      </c>
    </row>
    <row r="1251" spans="1:8" x14ac:dyDescent="0.25">
      <c r="A1251" s="1">
        <v>45799</v>
      </c>
      <c r="B1251" t="s">
        <v>13</v>
      </c>
      <c r="C1251" t="s">
        <v>14</v>
      </c>
      <c r="D1251" t="s">
        <v>15</v>
      </c>
      <c r="E1251">
        <v>13</v>
      </c>
      <c r="F1251" s="3">
        <v>17888</v>
      </c>
      <c r="G1251" t="s">
        <v>31</v>
      </c>
      <c r="H1251" t="s">
        <v>19</v>
      </c>
    </row>
    <row r="1252" spans="1:8" x14ac:dyDescent="0.25">
      <c r="A1252" s="1">
        <v>45530</v>
      </c>
      <c r="B1252" t="s">
        <v>46</v>
      </c>
      <c r="C1252" t="s">
        <v>38</v>
      </c>
      <c r="D1252" t="s">
        <v>22</v>
      </c>
      <c r="E1252">
        <v>19</v>
      </c>
      <c r="F1252" s="3">
        <v>22116</v>
      </c>
      <c r="G1252" t="s">
        <v>31</v>
      </c>
      <c r="H1252" t="s">
        <v>43</v>
      </c>
    </row>
    <row r="1253" spans="1:8" x14ac:dyDescent="0.25">
      <c r="A1253" s="1">
        <v>45048</v>
      </c>
      <c r="B1253" t="s">
        <v>13</v>
      </c>
      <c r="C1253" t="s">
        <v>9</v>
      </c>
      <c r="D1253" t="s">
        <v>10</v>
      </c>
      <c r="E1253">
        <v>9</v>
      </c>
      <c r="F1253" s="3">
        <v>3906</v>
      </c>
      <c r="G1253" t="s">
        <v>31</v>
      </c>
      <c r="H1253" t="s">
        <v>43</v>
      </c>
    </row>
    <row r="1254" spans="1:8" x14ac:dyDescent="0.25">
      <c r="A1254" s="1">
        <v>45540</v>
      </c>
      <c r="B1254" t="s">
        <v>24</v>
      </c>
      <c r="C1254" t="s">
        <v>35</v>
      </c>
      <c r="D1254" t="s">
        <v>36</v>
      </c>
      <c r="E1254">
        <v>5</v>
      </c>
      <c r="F1254" s="3">
        <v>445</v>
      </c>
      <c r="G1254" t="s">
        <v>11</v>
      </c>
      <c r="H1254" t="s">
        <v>43</v>
      </c>
    </row>
    <row r="1255" spans="1:8" x14ac:dyDescent="0.25">
      <c r="A1255" s="1">
        <v>45501</v>
      </c>
      <c r="B1255" t="s">
        <v>20</v>
      </c>
      <c r="C1255" t="s">
        <v>35</v>
      </c>
      <c r="D1255" t="s">
        <v>36</v>
      </c>
      <c r="E1255">
        <v>12</v>
      </c>
      <c r="F1255" s="3">
        <v>20664</v>
      </c>
      <c r="G1255" t="s">
        <v>27</v>
      </c>
      <c r="H1255" t="s">
        <v>12</v>
      </c>
    </row>
    <row r="1256" spans="1:8" x14ac:dyDescent="0.25">
      <c r="A1256" s="1">
        <v>45672</v>
      </c>
      <c r="B1256" t="s">
        <v>29</v>
      </c>
      <c r="C1256" t="s">
        <v>21</v>
      </c>
      <c r="D1256" t="s">
        <v>22</v>
      </c>
      <c r="E1256">
        <v>5</v>
      </c>
      <c r="F1256" s="3">
        <v>4365</v>
      </c>
      <c r="G1256" t="s">
        <v>39</v>
      </c>
      <c r="H1256" t="s">
        <v>28</v>
      </c>
    </row>
    <row r="1257" spans="1:8" x14ac:dyDescent="0.25">
      <c r="A1257" s="1">
        <v>45679</v>
      </c>
      <c r="B1257" t="s">
        <v>29</v>
      </c>
      <c r="C1257" t="s">
        <v>35</v>
      </c>
      <c r="D1257" t="s">
        <v>36</v>
      </c>
      <c r="E1257">
        <v>5</v>
      </c>
      <c r="F1257" s="3">
        <v>6700</v>
      </c>
      <c r="G1257" t="s">
        <v>11</v>
      </c>
      <c r="H1257" t="s">
        <v>32</v>
      </c>
    </row>
    <row r="1258" spans="1:8" x14ac:dyDescent="0.25">
      <c r="A1258" s="1">
        <v>45287</v>
      </c>
      <c r="B1258" t="s">
        <v>42</v>
      </c>
      <c r="C1258" t="s">
        <v>25</v>
      </c>
      <c r="D1258" t="s">
        <v>26</v>
      </c>
      <c r="E1258">
        <v>15</v>
      </c>
      <c r="F1258" s="3">
        <v>8220</v>
      </c>
      <c r="G1258" t="s">
        <v>39</v>
      </c>
      <c r="H1258" t="s">
        <v>32</v>
      </c>
    </row>
    <row r="1259" spans="1:8" x14ac:dyDescent="0.25">
      <c r="A1259" s="1">
        <v>45374</v>
      </c>
      <c r="B1259" t="s">
        <v>48</v>
      </c>
      <c r="C1259" t="s">
        <v>9</v>
      </c>
      <c r="D1259" t="s">
        <v>10</v>
      </c>
      <c r="E1259">
        <v>17</v>
      </c>
      <c r="F1259" s="3">
        <v>13634</v>
      </c>
      <c r="G1259" t="s">
        <v>39</v>
      </c>
      <c r="H1259" t="s">
        <v>34</v>
      </c>
    </row>
    <row r="1260" spans="1:8" x14ac:dyDescent="0.25">
      <c r="A1260" s="1">
        <v>45161</v>
      </c>
      <c r="B1260" t="s">
        <v>46</v>
      </c>
      <c r="C1260" t="s">
        <v>35</v>
      </c>
      <c r="D1260" t="s">
        <v>36</v>
      </c>
      <c r="E1260">
        <v>13</v>
      </c>
      <c r="F1260" s="3">
        <v>20956</v>
      </c>
      <c r="G1260" t="s">
        <v>16</v>
      </c>
      <c r="H1260" t="s">
        <v>43</v>
      </c>
    </row>
    <row r="1261" spans="1:8" x14ac:dyDescent="0.25">
      <c r="A1261" s="1">
        <v>45500</v>
      </c>
      <c r="B1261" t="s">
        <v>20</v>
      </c>
      <c r="C1261" t="s">
        <v>41</v>
      </c>
      <c r="D1261" t="s">
        <v>26</v>
      </c>
      <c r="E1261">
        <v>12</v>
      </c>
      <c r="F1261" s="3">
        <v>11844</v>
      </c>
      <c r="G1261" t="s">
        <v>16</v>
      </c>
      <c r="H1261" t="s">
        <v>28</v>
      </c>
    </row>
    <row r="1262" spans="1:8" x14ac:dyDescent="0.25">
      <c r="A1262" s="1">
        <v>45350</v>
      </c>
      <c r="B1262" t="s">
        <v>47</v>
      </c>
      <c r="C1262" t="s">
        <v>44</v>
      </c>
      <c r="D1262" t="s">
        <v>45</v>
      </c>
      <c r="E1262">
        <v>8</v>
      </c>
      <c r="F1262" s="3">
        <v>5440</v>
      </c>
      <c r="G1262" t="s">
        <v>27</v>
      </c>
      <c r="H1262" t="s">
        <v>32</v>
      </c>
    </row>
    <row r="1263" spans="1:8" x14ac:dyDescent="0.25">
      <c r="A1263" s="1">
        <v>45533</v>
      </c>
      <c r="B1263" t="s">
        <v>46</v>
      </c>
      <c r="C1263" t="s">
        <v>38</v>
      </c>
      <c r="D1263" t="s">
        <v>22</v>
      </c>
      <c r="E1263">
        <v>3</v>
      </c>
      <c r="F1263" s="3">
        <v>2247</v>
      </c>
      <c r="G1263" t="s">
        <v>31</v>
      </c>
      <c r="H1263" t="s">
        <v>23</v>
      </c>
    </row>
    <row r="1264" spans="1:8" x14ac:dyDescent="0.25">
      <c r="A1264" s="1">
        <v>45390</v>
      </c>
      <c r="B1264" t="s">
        <v>40</v>
      </c>
      <c r="C1264" t="s">
        <v>25</v>
      </c>
      <c r="D1264" t="s">
        <v>26</v>
      </c>
      <c r="E1264">
        <v>19</v>
      </c>
      <c r="F1264" s="3">
        <v>16302</v>
      </c>
      <c r="G1264" t="s">
        <v>27</v>
      </c>
      <c r="H1264" t="s">
        <v>12</v>
      </c>
    </row>
    <row r="1265" spans="1:8" x14ac:dyDescent="0.25">
      <c r="A1265" s="1">
        <v>44947</v>
      </c>
      <c r="B1265" t="s">
        <v>29</v>
      </c>
      <c r="C1265" t="s">
        <v>25</v>
      </c>
      <c r="D1265" t="s">
        <v>26</v>
      </c>
      <c r="E1265">
        <v>7</v>
      </c>
      <c r="F1265" s="3">
        <v>8092</v>
      </c>
      <c r="G1265" t="s">
        <v>31</v>
      </c>
      <c r="H1265" t="s">
        <v>19</v>
      </c>
    </row>
    <row r="1266" spans="1:8" x14ac:dyDescent="0.25">
      <c r="A1266" s="1">
        <v>45895</v>
      </c>
      <c r="B1266" t="s">
        <v>46</v>
      </c>
      <c r="C1266" t="s">
        <v>37</v>
      </c>
      <c r="D1266" t="s">
        <v>15</v>
      </c>
      <c r="E1266">
        <v>12</v>
      </c>
      <c r="F1266" s="3">
        <v>19500</v>
      </c>
      <c r="G1266" t="s">
        <v>31</v>
      </c>
      <c r="H1266" t="s">
        <v>17</v>
      </c>
    </row>
    <row r="1267" spans="1:8" x14ac:dyDescent="0.25">
      <c r="A1267" s="1">
        <v>45547</v>
      </c>
      <c r="B1267" t="s">
        <v>24</v>
      </c>
      <c r="C1267" t="s">
        <v>44</v>
      </c>
      <c r="D1267" t="s">
        <v>45</v>
      </c>
      <c r="E1267">
        <v>12</v>
      </c>
      <c r="F1267" s="3">
        <v>18672</v>
      </c>
      <c r="G1267" t="s">
        <v>27</v>
      </c>
      <c r="H1267" t="s">
        <v>28</v>
      </c>
    </row>
    <row r="1268" spans="1:8" x14ac:dyDescent="0.25">
      <c r="A1268" s="1">
        <v>46003</v>
      </c>
      <c r="B1268" t="s">
        <v>42</v>
      </c>
      <c r="C1268" t="s">
        <v>37</v>
      </c>
      <c r="D1268" t="s">
        <v>15</v>
      </c>
      <c r="E1268">
        <v>18</v>
      </c>
      <c r="F1268" s="3">
        <v>24822</v>
      </c>
      <c r="G1268" t="s">
        <v>16</v>
      </c>
      <c r="H1268" t="s">
        <v>28</v>
      </c>
    </row>
    <row r="1269" spans="1:8" x14ac:dyDescent="0.25">
      <c r="A1269" s="1">
        <v>45622</v>
      </c>
      <c r="B1269" t="s">
        <v>8</v>
      </c>
      <c r="C1269" t="s">
        <v>37</v>
      </c>
      <c r="D1269" t="s">
        <v>15</v>
      </c>
      <c r="E1269">
        <v>19</v>
      </c>
      <c r="F1269" s="3">
        <v>15238</v>
      </c>
      <c r="G1269" t="s">
        <v>27</v>
      </c>
      <c r="H1269" t="s">
        <v>43</v>
      </c>
    </row>
    <row r="1270" spans="1:8" x14ac:dyDescent="0.25">
      <c r="A1270" s="1">
        <v>45139</v>
      </c>
      <c r="B1270" t="s">
        <v>46</v>
      </c>
      <c r="C1270" t="s">
        <v>21</v>
      </c>
      <c r="D1270" t="s">
        <v>22</v>
      </c>
      <c r="E1270">
        <v>8</v>
      </c>
      <c r="F1270" s="3">
        <v>14592</v>
      </c>
      <c r="G1270" t="s">
        <v>39</v>
      </c>
      <c r="H1270" t="s">
        <v>12</v>
      </c>
    </row>
    <row r="1271" spans="1:8" x14ac:dyDescent="0.25">
      <c r="A1271" s="1">
        <v>45139</v>
      </c>
      <c r="B1271" t="s">
        <v>46</v>
      </c>
      <c r="C1271" t="s">
        <v>25</v>
      </c>
      <c r="D1271" t="s">
        <v>26</v>
      </c>
      <c r="E1271">
        <v>10</v>
      </c>
      <c r="F1271" s="3">
        <v>9720</v>
      </c>
      <c r="G1271" t="s">
        <v>27</v>
      </c>
      <c r="H1271" t="s">
        <v>32</v>
      </c>
    </row>
    <row r="1272" spans="1:8" x14ac:dyDescent="0.25">
      <c r="A1272" s="1">
        <v>45143</v>
      </c>
      <c r="B1272" t="s">
        <v>46</v>
      </c>
      <c r="C1272" t="s">
        <v>44</v>
      </c>
      <c r="D1272" t="s">
        <v>45</v>
      </c>
      <c r="E1272">
        <v>1</v>
      </c>
      <c r="F1272" s="3">
        <v>1700</v>
      </c>
      <c r="G1272" t="s">
        <v>31</v>
      </c>
      <c r="H1272" t="s">
        <v>43</v>
      </c>
    </row>
    <row r="1273" spans="1:8" x14ac:dyDescent="0.25">
      <c r="A1273" s="1">
        <v>45140</v>
      </c>
      <c r="B1273" t="s">
        <v>46</v>
      </c>
      <c r="C1273" t="s">
        <v>25</v>
      </c>
      <c r="D1273" t="s">
        <v>26</v>
      </c>
      <c r="E1273">
        <v>14</v>
      </c>
      <c r="F1273" s="3">
        <v>4032</v>
      </c>
      <c r="G1273" t="s">
        <v>27</v>
      </c>
      <c r="H1273" t="s">
        <v>34</v>
      </c>
    </row>
    <row r="1274" spans="1:8" x14ac:dyDescent="0.25">
      <c r="A1274" s="1">
        <v>45859</v>
      </c>
      <c r="B1274" t="s">
        <v>20</v>
      </c>
      <c r="C1274" t="s">
        <v>14</v>
      </c>
      <c r="D1274" t="s">
        <v>15</v>
      </c>
      <c r="E1274">
        <v>17</v>
      </c>
      <c r="F1274" s="3">
        <v>3910</v>
      </c>
      <c r="G1274" t="s">
        <v>27</v>
      </c>
      <c r="H1274" t="s">
        <v>43</v>
      </c>
    </row>
    <row r="1275" spans="1:8" x14ac:dyDescent="0.25">
      <c r="A1275" s="1">
        <v>44944</v>
      </c>
      <c r="B1275" t="s">
        <v>29</v>
      </c>
      <c r="C1275" t="s">
        <v>21</v>
      </c>
      <c r="D1275" t="s">
        <v>22</v>
      </c>
      <c r="E1275">
        <v>1</v>
      </c>
      <c r="F1275" s="3">
        <v>1408</v>
      </c>
      <c r="G1275" t="s">
        <v>27</v>
      </c>
      <c r="H1275" t="s">
        <v>19</v>
      </c>
    </row>
    <row r="1276" spans="1:8" x14ac:dyDescent="0.25">
      <c r="A1276" s="1">
        <v>45591</v>
      </c>
      <c r="B1276" t="s">
        <v>33</v>
      </c>
      <c r="C1276" t="s">
        <v>25</v>
      </c>
      <c r="D1276" t="s">
        <v>26</v>
      </c>
      <c r="E1276">
        <v>8</v>
      </c>
      <c r="F1276" s="3">
        <v>1392</v>
      </c>
      <c r="G1276" t="s">
        <v>27</v>
      </c>
      <c r="H1276" t="s">
        <v>43</v>
      </c>
    </row>
    <row r="1277" spans="1:8" x14ac:dyDescent="0.25">
      <c r="A1277" s="1">
        <v>45743</v>
      </c>
      <c r="B1277" t="s">
        <v>48</v>
      </c>
      <c r="C1277" t="s">
        <v>38</v>
      </c>
      <c r="D1277" t="s">
        <v>22</v>
      </c>
      <c r="E1277">
        <v>1</v>
      </c>
      <c r="F1277" s="3">
        <v>1908</v>
      </c>
      <c r="G1277" t="s">
        <v>11</v>
      </c>
      <c r="H1277" t="s">
        <v>43</v>
      </c>
    </row>
    <row r="1278" spans="1:8" x14ac:dyDescent="0.25">
      <c r="A1278" s="1">
        <v>45110</v>
      </c>
      <c r="B1278" t="s">
        <v>20</v>
      </c>
      <c r="C1278" t="s">
        <v>25</v>
      </c>
      <c r="D1278" t="s">
        <v>26</v>
      </c>
      <c r="E1278">
        <v>18</v>
      </c>
      <c r="F1278" s="3">
        <v>7560</v>
      </c>
      <c r="G1278" t="s">
        <v>27</v>
      </c>
      <c r="H1278" t="s">
        <v>23</v>
      </c>
    </row>
    <row r="1279" spans="1:8" x14ac:dyDescent="0.25">
      <c r="A1279" s="1">
        <v>45007</v>
      </c>
      <c r="B1279" t="s">
        <v>48</v>
      </c>
      <c r="C1279" t="s">
        <v>44</v>
      </c>
      <c r="D1279" t="s">
        <v>45</v>
      </c>
      <c r="E1279">
        <v>17</v>
      </c>
      <c r="F1279" s="3">
        <v>3791</v>
      </c>
      <c r="G1279" t="s">
        <v>16</v>
      </c>
      <c r="H1279" t="s">
        <v>23</v>
      </c>
    </row>
    <row r="1280" spans="1:8" x14ac:dyDescent="0.25">
      <c r="A1280" s="1">
        <v>45068</v>
      </c>
      <c r="B1280" t="s">
        <v>13</v>
      </c>
      <c r="C1280" t="s">
        <v>14</v>
      </c>
      <c r="D1280" t="s">
        <v>15</v>
      </c>
      <c r="E1280">
        <v>1</v>
      </c>
      <c r="F1280" s="3">
        <v>1636</v>
      </c>
      <c r="G1280" t="s">
        <v>31</v>
      </c>
      <c r="H1280" t="s">
        <v>28</v>
      </c>
    </row>
    <row r="1281" spans="1:8" x14ac:dyDescent="0.25">
      <c r="A1281" s="1">
        <v>45369</v>
      </c>
      <c r="B1281" t="s">
        <v>48</v>
      </c>
      <c r="C1281" t="s">
        <v>35</v>
      </c>
      <c r="D1281" t="s">
        <v>36</v>
      </c>
      <c r="E1281">
        <v>10</v>
      </c>
      <c r="F1281" s="3">
        <v>12830</v>
      </c>
      <c r="G1281" t="s">
        <v>31</v>
      </c>
      <c r="H1281" t="s">
        <v>28</v>
      </c>
    </row>
    <row r="1282" spans="1:8" x14ac:dyDescent="0.25">
      <c r="A1282" s="1">
        <v>45394</v>
      </c>
      <c r="B1282" t="s">
        <v>40</v>
      </c>
      <c r="C1282" t="s">
        <v>38</v>
      </c>
      <c r="D1282" t="s">
        <v>22</v>
      </c>
      <c r="E1282">
        <v>16</v>
      </c>
      <c r="F1282" s="3">
        <v>9632</v>
      </c>
      <c r="G1282" t="s">
        <v>39</v>
      </c>
      <c r="H1282" t="s">
        <v>34</v>
      </c>
    </row>
    <row r="1283" spans="1:8" x14ac:dyDescent="0.25">
      <c r="A1283" s="1">
        <v>44982</v>
      </c>
      <c r="B1283" t="s">
        <v>47</v>
      </c>
      <c r="C1283" t="s">
        <v>38</v>
      </c>
      <c r="D1283" t="s">
        <v>22</v>
      </c>
      <c r="E1283">
        <v>10</v>
      </c>
      <c r="F1283" s="3">
        <v>10310</v>
      </c>
      <c r="G1283" t="s">
        <v>27</v>
      </c>
      <c r="H1283" t="s">
        <v>17</v>
      </c>
    </row>
    <row r="1284" spans="1:8" x14ac:dyDescent="0.25">
      <c r="A1284" s="1">
        <v>44964</v>
      </c>
      <c r="B1284" t="s">
        <v>47</v>
      </c>
      <c r="C1284" t="s">
        <v>35</v>
      </c>
      <c r="D1284" t="s">
        <v>36</v>
      </c>
      <c r="E1284">
        <v>5</v>
      </c>
      <c r="F1284" s="3">
        <v>1395</v>
      </c>
      <c r="G1284" t="s">
        <v>31</v>
      </c>
      <c r="H1284" t="s">
        <v>17</v>
      </c>
    </row>
    <row r="1285" spans="1:8" x14ac:dyDescent="0.25">
      <c r="A1285" s="1">
        <v>46011</v>
      </c>
      <c r="B1285" t="s">
        <v>42</v>
      </c>
      <c r="C1285" t="s">
        <v>30</v>
      </c>
      <c r="D1285" t="s">
        <v>15</v>
      </c>
      <c r="E1285">
        <v>11</v>
      </c>
      <c r="F1285" s="3">
        <v>20328</v>
      </c>
      <c r="G1285" t="s">
        <v>31</v>
      </c>
      <c r="H1285" t="s">
        <v>43</v>
      </c>
    </row>
    <row r="1286" spans="1:8" x14ac:dyDescent="0.25">
      <c r="A1286" s="1">
        <v>44972</v>
      </c>
      <c r="B1286" t="s">
        <v>47</v>
      </c>
      <c r="C1286" t="s">
        <v>37</v>
      </c>
      <c r="D1286" t="s">
        <v>15</v>
      </c>
      <c r="E1286">
        <v>4</v>
      </c>
      <c r="F1286" s="3">
        <v>4380</v>
      </c>
      <c r="G1286" t="s">
        <v>31</v>
      </c>
      <c r="H1286" t="s">
        <v>34</v>
      </c>
    </row>
    <row r="1287" spans="1:8" x14ac:dyDescent="0.25">
      <c r="A1287" s="1">
        <v>45934</v>
      </c>
      <c r="B1287" t="s">
        <v>33</v>
      </c>
      <c r="C1287" t="s">
        <v>30</v>
      </c>
      <c r="D1287" t="s">
        <v>15</v>
      </c>
      <c r="E1287">
        <v>15</v>
      </c>
      <c r="F1287" s="3">
        <v>18450</v>
      </c>
      <c r="G1287" t="s">
        <v>16</v>
      </c>
      <c r="H1287" t="s">
        <v>32</v>
      </c>
    </row>
    <row r="1288" spans="1:8" x14ac:dyDescent="0.25">
      <c r="A1288" s="1">
        <v>45987</v>
      </c>
      <c r="B1288" t="s">
        <v>8</v>
      </c>
      <c r="C1288" t="s">
        <v>37</v>
      </c>
      <c r="D1288" t="s">
        <v>15</v>
      </c>
      <c r="E1288">
        <v>11</v>
      </c>
      <c r="F1288" s="3">
        <v>13849</v>
      </c>
      <c r="G1288" t="s">
        <v>39</v>
      </c>
      <c r="H1288" t="s">
        <v>43</v>
      </c>
    </row>
    <row r="1289" spans="1:8" x14ac:dyDescent="0.25">
      <c r="A1289" s="1">
        <v>44945</v>
      </c>
      <c r="B1289" t="s">
        <v>29</v>
      </c>
      <c r="C1289" t="s">
        <v>35</v>
      </c>
      <c r="D1289" t="s">
        <v>36</v>
      </c>
      <c r="E1289">
        <v>10</v>
      </c>
      <c r="F1289" s="3">
        <v>6630</v>
      </c>
      <c r="G1289" t="s">
        <v>27</v>
      </c>
      <c r="H1289" t="s">
        <v>12</v>
      </c>
    </row>
    <row r="1290" spans="1:8" x14ac:dyDescent="0.25">
      <c r="A1290" s="1">
        <v>45291</v>
      </c>
      <c r="B1290" t="s">
        <v>42</v>
      </c>
      <c r="C1290" t="s">
        <v>30</v>
      </c>
      <c r="D1290" t="s">
        <v>15</v>
      </c>
      <c r="E1290">
        <v>10</v>
      </c>
      <c r="F1290" s="3">
        <v>16000</v>
      </c>
      <c r="G1290" t="s">
        <v>16</v>
      </c>
      <c r="H1290" t="s">
        <v>23</v>
      </c>
    </row>
    <row r="1291" spans="1:8" x14ac:dyDescent="0.25">
      <c r="A1291" s="1">
        <v>45558</v>
      </c>
      <c r="B1291" t="s">
        <v>24</v>
      </c>
      <c r="C1291" t="s">
        <v>21</v>
      </c>
      <c r="D1291" t="s">
        <v>22</v>
      </c>
      <c r="E1291">
        <v>20</v>
      </c>
      <c r="F1291" s="3">
        <v>35520</v>
      </c>
      <c r="G1291" t="s">
        <v>16</v>
      </c>
      <c r="H1291" t="s">
        <v>34</v>
      </c>
    </row>
    <row r="1292" spans="1:8" x14ac:dyDescent="0.25">
      <c r="A1292" s="1">
        <v>45994</v>
      </c>
      <c r="B1292" t="s">
        <v>42</v>
      </c>
      <c r="C1292" t="s">
        <v>44</v>
      </c>
      <c r="D1292" t="s">
        <v>45</v>
      </c>
      <c r="E1292">
        <v>14</v>
      </c>
      <c r="F1292" s="3">
        <v>19264</v>
      </c>
      <c r="G1292" t="s">
        <v>31</v>
      </c>
      <c r="H1292" t="s">
        <v>17</v>
      </c>
    </row>
    <row r="1293" spans="1:8" x14ac:dyDescent="0.25">
      <c r="A1293" s="1">
        <v>45103</v>
      </c>
      <c r="B1293" t="s">
        <v>18</v>
      </c>
      <c r="C1293" t="s">
        <v>9</v>
      </c>
      <c r="D1293" t="s">
        <v>10</v>
      </c>
      <c r="E1293">
        <v>14</v>
      </c>
      <c r="F1293" s="3">
        <v>14798</v>
      </c>
      <c r="G1293" t="s">
        <v>16</v>
      </c>
      <c r="H1293" t="s">
        <v>32</v>
      </c>
    </row>
    <row r="1294" spans="1:8" x14ac:dyDescent="0.25">
      <c r="A1294" s="1">
        <v>45163</v>
      </c>
      <c r="B1294" t="s">
        <v>46</v>
      </c>
      <c r="C1294" t="s">
        <v>41</v>
      </c>
      <c r="D1294" t="s">
        <v>26</v>
      </c>
      <c r="E1294">
        <v>18</v>
      </c>
      <c r="F1294" s="3">
        <v>25398</v>
      </c>
      <c r="G1294" t="s">
        <v>39</v>
      </c>
      <c r="H1294" t="s">
        <v>19</v>
      </c>
    </row>
    <row r="1295" spans="1:8" x14ac:dyDescent="0.25">
      <c r="A1295" s="1">
        <v>45522</v>
      </c>
      <c r="B1295" t="s">
        <v>46</v>
      </c>
      <c r="C1295" t="s">
        <v>35</v>
      </c>
      <c r="D1295" t="s">
        <v>36</v>
      </c>
      <c r="E1295">
        <v>4</v>
      </c>
      <c r="F1295" s="3">
        <v>5460</v>
      </c>
      <c r="G1295" t="s">
        <v>27</v>
      </c>
      <c r="H1295" t="s">
        <v>34</v>
      </c>
    </row>
    <row r="1296" spans="1:8" x14ac:dyDescent="0.25">
      <c r="A1296" s="1">
        <v>45464</v>
      </c>
      <c r="B1296" t="s">
        <v>18</v>
      </c>
      <c r="C1296" t="s">
        <v>41</v>
      </c>
      <c r="D1296" t="s">
        <v>26</v>
      </c>
      <c r="E1296">
        <v>11</v>
      </c>
      <c r="F1296" s="3">
        <v>737</v>
      </c>
      <c r="G1296" t="s">
        <v>31</v>
      </c>
      <c r="H1296" t="s">
        <v>43</v>
      </c>
    </row>
    <row r="1297" spans="1:8" x14ac:dyDescent="0.25">
      <c r="A1297" s="1">
        <v>45239</v>
      </c>
      <c r="B1297" t="s">
        <v>8</v>
      </c>
      <c r="C1297" t="s">
        <v>30</v>
      </c>
      <c r="D1297" t="s">
        <v>15</v>
      </c>
      <c r="E1297">
        <v>20</v>
      </c>
      <c r="F1297" s="3">
        <v>3900</v>
      </c>
      <c r="G1297" t="s">
        <v>39</v>
      </c>
      <c r="H1297" t="s">
        <v>43</v>
      </c>
    </row>
    <row r="1298" spans="1:8" x14ac:dyDescent="0.25">
      <c r="A1298" s="1">
        <v>45227</v>
      </c>
      <c r="B1298" t="s">
        <v>33</v>
      </c>
      <c r="C1298" t="s">
        <v>44</v>
      </c>
      <c r="D1298" t="s">
        <v>45</v>
      </c>
      <c r="E1298">
        <v>5</v>
      </c>
      <c r="F1298" s="3">
        <v>1600</v>
      </c>
      <c r="G1298" t="s">
        <v>39</v>
      </c>
      <c r="H1298" t="s">
        <v>34</v>
      </c>
    </row>
    <row r="1299" spans="1:8" x14ac:dyDescent="0.25">
      <c r="A1299" s="1">
        <v>45587</v>
      </c>
      <c r="B1299" t="s">
        <v>33</v>
      </c>
      <c r="C1299" t="s">
        <v>14</v>
      </c>
      <c r="D1299" t="s">
        <v>15</v>
      </c>
      <c r="E1299">
        <v>5</v>
      </c>
      <c r="F1299" s="3">
        <v>1530</v>
      </c>
      <c r="G1299" t="s">
        <v>27</v>
      </c>
      <c r="H1299" t="s">
        <v>43</v>
      </c>
    </row>
    <row r="1300" spans="1:8" x14ac:dyDescent="0.25">
      <c r="A1300" s="1">
        <v>44995</v>
      </c>
      <c r="B1300" t="s">
        <v>48</v>
      </c>
      <c r="C1300" t="s">
        <v>41</v>
      </c>
      <c r="D1300" t="s">
        <v>26</v>
      </c>
      <c r="E1300">
        <v>2</v>
      </c>
      <c r="F1300" s="3">
        <v>2220</v>
      </c>
      <c r="G1300" t="s">
        <v>11</v>
      </c>
      <c r="H1300" t="s">
        <v>17</v>
      </c>
    </row>
    <row r="1301" spans="1:8" x14ac:dyDescent="0.25">
      <c r="A1301" s="1">
        <v>45293</v>
      </c>
      <c r="B1301" t="s">
        <v>29</v>
      </c>
      <c r="C1301" t="s">
        <v>9</v>
      </c>
      <c r="D1301" t="s">
        <v>10</v>
      </c>
      <c r="E1301">
        <v>20</v>
      </c>
      <c r="F1301" s="3">
        <v>31080</v>
      </c>
      <c r="G1301" t="s">
        <v>31</v>
      </c>
      <c r="H1301" t="s">
        <v>43</v>
      </c>
    </row>
    <row r="1302" spans="1:8" x14ac:dyDescent="0.25">
      <c r="A1302" s="1">
        <v>45168</v>
      </c>
      <c r="B1302" t="s">
        <v>46</v>
      </c>
      <c r="C1302" t="s">
        <v>41</v>
      </c>
      <c r="D1302" t="s">
        <v>26</v>
      </c>
      <c r="E1302">
        <v>14</v>
      </c>
      <c r="F1302" s="3">
        <v>27678</v>
      </c>
      <c r="G1302" t="s">
        <v>27</v>
      </c>
      <c r="H1302" t="s">
        <v>34</v>
      </c>
    </row>
    <row r="1303" spans="1:8" x14ac:dyDescent="0.25">
      <c r="A1303" s="1">
        <v>45486</v>
      </c>
      <c r="B1303" t="s">
        <v>20</v>
      </c>
      <c r="C1303" t="s">
        <v>37</v>
      </c>
      <c r="D1303" t="s">
        <v>15</v>
      </c>
      <c r="E1303">
        <v>9</v>
      </c>
      <c r="F1303" s="3">
        <v>4941</v>
      </c>
      <c r="G1303" t="s">
        <v>16</v>
      </c>
      <c r="H1303" t="s">
        <v>28</v>
      </c>
    </row>
    <row r="1304" spans="1:8" x14ac:dyDescent="0.25">
      <c r="A1304" s="1">
        <v>45414</v>
      </c>
      <c r="B1304" t="s">
        <v>13</v>
      </c>
      <c r="C1304" t="s">
        <v>30</v>
      </c>
      <c r="D1304" t="s">
        <v>15</v>
      </c>
      <c r="E1304">
        <v>14</v>
      </c>
      <c r="F1304" s="3">
        <v>7406</v>
      </c>
      <c r="G1304" t="s">
        <v>16</v>
      </c>
      <c r="H1304" t="s">
        <v>12</v>
      </c>
    </row>
    <row r="1305" spans="1:8" x14ac:dyDescent="0.25">
      <c r="A1305" s="1">
        <v>45380</v>
      </c>
      <c r="B1305" t="s">
        <v>48</v>
      </c>
      <c r="C1305" t="s">
        <v>44</v>
      </c>
      <c r="D1305" t="s">
        <v>45</v>
      </c>
      <c r="E1305">
        <v>3</v>
      </c>
      <c r="F1305" s="3">
        <v>1809</v>
      </c>
      <c r="G1305" t="s">
        <v>31</v>
      </c>
      <c r="H1305" t="s">
        <v>28</v>
      </c>
    </row>
    <row r="1306" spans="1:8" x14ac:dyDescent="0.25">
      <c r="A1306" s="1">
        <v>45136</v>
      </c>
      <c r="B1306" t="s">
        <v>20</v>
      </c>
      <c r="C1306" t="s">
        <v>9</v>
      </c>
      <c r="D1306" t="s">
        <v>10</v>
      </c>
      <c r="E1306">
        <v>19</v>
      </c>
      <c r="F1306" s="3">
        <v>35074</v>
      </c>
      <c r="G1306" t="s">
        <v>31</v>
      </c>
      <c r="H1306" t="s">
        <v>12</v>
      </c>
    </row>
    <row r="1307" spans="1:8" x14ac:dyDescent="0.25">
      <c r="A1307" s="1">
        <v>46003</v>
      </c>
      <c r="B1307" t="s">
        <v>42</v>
      </c>
      <c r="C1307" t="s">
        <v>41</v>
      </c>
      <c r="D1307" t="s">
        <v>26</v>
      </c>
      <c r="E1307">
        <v>10</v>
      </c>
      <c r="F1307" s="3">
        <v>17340</v>
      </c>
      <c r="G1307" t="s">
        <v>16</v>
      </c>
      <c r="H1307" t="s">
        <v>34</v>
      </c>
    </row>
    <row r="1308" spans="1:8" x14ac:dyDescent="0.25">
      <c r="A1308" s="1">
        <v>45837</v>
      </c>
      <c r="B1308" t="s">
        <v>18</v>
      </c>
      <c r="C1308" t="s">
        <v>37</v>
      </c>
      <c r="D1308" t="s">
        <v>15</v>
      </c>
      <c r="E1308">
        <v>11</v>
      </c>
      <c r="F1308" s="3">
        <v>12364</v>
      </c>
      <c r="G1308" t="s">
        <v>39</v>
      </c>
      <c r="H1308" t="s">
        <v>23</v>
      </c>
    </row>
    <row r="1309" spans="1:8" x14ac:dyDescent="0.25">
      <c r="A1309" s="1">
        <v>44941</v>
      </c>
      <c r="B1309" t="s">
        <v>29</v>
      </c>
      <c r="C1309" t="s">
        <v>44</v>
      </c>
      <c r="D1309" t="s">
        <v>45</v>
      </c>
      <c r="E1309">
        <v>13</v>
      </c>
      <c r="F1309" s="3">
        <v>8645</v>
      </c>
      <c r="G1309" t="s">
        <v>27</v>
      </c>
      <c r="H1309" t="s">
        <v>17</v>
      </c>
    </row>
    <row r="1310" spans="1:8" x14ac:dyDescent="0.25">
      <c r="A1310" s="1">
        <v>45601</v>
      </c>
      <c r="B1310" t="s">
        <v>8</v>
      </c>
      <c r="C1310" t="s">
        <v>21</v>
      </c>
      <c r="D1310" t="s">
        <v>22</v>
      </c>
      <c r="E1310">
        <v>5</v>
      </c>
      <c r="F1310" s="3">
        <v>4555</v>
      </c>
      <c r="G1310" t="s">
        <v>31</v>
      </c>
      <c r="H1310" t="s">
        <v>32</v>
      </c>
    </row>
    <row r="1311" spans="1:8" x14ac:dyDescent="0.25">
      <c r="A1311" s="1">
        <v>45387</v>
      </c>
      <c r="B1311" t="s">
        <v>40</v>
      </c>
      <c r="C1311" t="s">
        <v>25</v>
      </c>
      <c r="D1311" t="s">
        <v>26</v>
      </c>
      <c r="E1311">
        <v>12</v>
      </c>
      <c r="F1311" s="3">
        <v>11256</v>
      </c>
      <c r="G1311" t="s">
        <v>11</v>
      </c>
      <c r="H1311" t="s">
        <v>17</v>
      </c>
    </row>
    <row r="1312" spans="1:8" x14ac:dyDescent="0.25">
      <c r="A1312" s="1">
        <v>44962</v>
      </c>
      <c r="B1312" t="s">
        <v>47</v>
      </c>
      <c r="C1312" t="s">
        <v>30</v>
      </c>
      <c r="D1312" t="s">
        <v>15</v>
      </c>
      <c r="E1312">
        <v>20</v>
      </c>
      <c r="F1312" s="3">
        <v>29600</v>
      </c>
      <c r="G1312" t="s">
        <v>39</v>
      </c>
      <c r="H1312" t="s">
        <v>17</v>
      </c>
    </row>
    <row r="1313" spans="1:8" x14ac:dyDescent="0.25">
      <c r="A1313" s="1">
        <v>46018</v>
      </c>
      <c r="B1313" t="s">
        <v>42</v>
      </c>
      <c r="C1313" t="s">
        <v>35</v>
      </c>
      <c r="D1313" t="s">
        <v>36</v>
      </c>
      <c r="E1313">
        <v>9</v>
      </c>
      <c r="F1313" s="3">
        <v>10611</v>
      </c>
      <c r="G1313" t="s">
        <v>39</v>
      </c>
      <c r="H1313" t="s">
        <v>23</v>
      </c>
    </row>
    <row r="1314" spans="1:8" x14ac:dyDescent="0.25">
      <c r="A1314" s="1">
        <v>45653</v>
      </c>
      <c r="B1314" t="s">
        <v>42</v>
      </c>
      <c r="C1314" t="s">
        <v>9</v>
      </c>
      <c r="D1314" t="s">
        <v>10</v>
      </c>
      <c r="E1314">
        <v>20</v>
      </c>
      <c r="F1314" s="3">
        <v>25540</v>
      </c>
      <c r="G1314" t="s">
        <v>31</v>
      </c>
      <c r="H1314" t="s">
        <v>34</v>
      </c>
    </row>
    <row r="1315" spans="1:8" x14ac:dyDescent="0.25">
      <c r="A1315" s="1">
        <v>45429</v>
      </c>
      <c r="B1315" t="s">
        <v>13</v>
      </c>
      <c r="C1315" t="s">
        <v>9</v>
      </c>
      <c r="D1315" t="s">
        <v>10</v>
      </c>
      <c r="E1315">
        <v>13</v>
      </c>
      <c r="F1315" s="3">
        <v>3484</v>
      </c>
      <c r="G1315" t="s">
        <v>11</v>
      </c>
      <c r="H1315" t="s">
        <v>34</v>
      </c>
    </row>
    <row r="1316" spans="1:8" x14ac:dyDescent="0.25">
      <c r="A1316" s="1">
        <v>45186</v>
      </c>
      <c r="B1316" t="s">
        <v>24</v>
      </c>
      <c r="C1316" t="s">
        <v>30</v>
      </c>
      <c r="D1316" t="s">
        <v>15</v>
      </c>
      <c r="E1316">
        <v>13</v>
      </c>
      <c r="F1316" s="3">
        <v>22516</v>
      </c>
      <c r="G1316" t="s">
        <v>27</v>
      </c>
      <c r="H1316" t="s">
        <v>12</v>
      </c>
    </row>
    <row r="1317" spans="1:8" x14ac:dyDescent="0.25">
      <c r="A1317" s="1">
        <v>45237</v>
      </c>
      <c r="B1317" t="s">
        <v>8</v>
      </c>
      <c r="C1317" t="s">
        <v>14</v>
      </c>
      <c r="D1317" t="s">
        <v>15</v>
      </c>
      <c r="E1317">
        <v>9</v>
      </c>
      <c r="F1317" s="3">
        <v>5976</v>
      </c>
      <c r="G1317" t="s">
        <v>11</v>
      </c>
      <c r="H1317" t="s">
        <v>32</v>
      </c>
    </row>
    <row r="1318" spans="1:8" x14ac:dyDescent="0.25">
      <c r="A1318" s="1">
        <v>45320</v>
      </c>
      <c r="B1318" t="s">
        <v>29</v>
      </c>
      <c r="C1318" t="s">
        <v>30</v>
      </c>
      <c r="D1318" t="s">
        <v>15</v>
      </c>
      <c r="E1318">
        <v>19</v>
      </c>
      <c r="F1318" s="3">
        <v>1577</v>
      </c>
      <c r="G1318" t="s">
        <v>31</v>
      </c>
      <c r="H1318" t="s">
        <v>23</v>
      </c>
    </row>
    <row r="1319" spans="1:8" x14ac:dyDescent="0.25">
      <c r="A1319" s="1">
        <v>45036</v>
      </c>
      <c r="B1319" t="s">
        <v>40</v>
      </c>
      <c r="C1319" t="s">
        <v>41</v>
      </c>
      <c r="D1319" t="s">
        <v>26</v>
      </c>
      <c r="E1319">
        <v>16</v>
      </c>
      <c r="F1319" s="3">
        <v>24928</v>
      </c>
      <c r="G1319" t="s">
        <v>11</v>
      </c>
      <c r="H1319" t="s">
        <v>43</v>
      </c>
    </row>
    <row r="1320" spans="1:8" x14ac:dyDescent="0.25">
      <c r="A1320" s="1">
        <v>45022</v>
      </c>
      <c r="B1320" t="s">
        <v>40</v>
      </c>
      <c r="C1320" t="s">
        <v>44</v>
      </c>
      <c r="D1320" t="s">
        <v>45</v>
      </c>
      <c r="E1320">
        <v>13</v>
      </c>
      <c r="F1320" s="3">
        <v>6435</v>
      </c>
      <c r="G1320" t="s">
        <v>16</v>
      </c>
      <c r="H1320" t="s">
        <v>19</v>
      </c>
    </row>
    <row r="1321" spans="1:8" x14ac:dyDescent="0.25">
      <c r="A1321" s="1">
        <v>45215</v>
      </c>
      <c r="B1321" t="s">
        <v>33</v>
      </c>
      <c r="C1321" t="s">
        <v>14</v>
      </c>
      <c r="D1321" t="s">
        <v>15</v>
      </c>
      <c r="E1321">
        <v>2</v>
      </c>
      <c r="F1321" s="3">
        <v>2320</v>
      </c>
      <c r="G1321" t="s">
        <v>16</v>
      </c>
      <c r="H1321" t="s">
        <v>28</v>
      </c>
    </row>
    <row r="1322" spans="1:8" x14ac:dyDescent="0.25">
      <c r="A1322" s="1">
        <v>45101</v>
      </c>
      <c r="B1322" t="s">
        <v>18</v>
      </c>
      <c r="C1322" t="s">
        <v>14</v>
      </c>
      <c r="D1322" t="s">
        <v>15</v>
      </c>
      <c r="E1322">
        <v>14</v>
      </c>
      <c r="F1322" s="3">
        <v>6370</v>
      </c>
      <c r="G1322" t="s">
        <v>16</v>
      </c>
      <c r="H1322" t="s">
        <v>19</v>
      </c>
    </row>
    <row r="1323" spans="1:8" x14ac:dyDescent="0.25">
      <c r="A1323" s="1">
        <v>46003</v>
      </c>
      <c r="B1323" t="s">
        <v>42</v>
      </c>
      <c r="C1323" t="s">
        <v>25</v>
      </c>
      <c r="D1323" t="s">
        <v>26</v>
      </c>
      <c r="E1323">
        <v>16</v>
      </c>
      <c r="F1323" s="3">
        <v>11392</v>
      </c>
      <c r="G1323" t="s">
        <v>39</v>
      </c>
      <c r="H1323" t="s">
        <v>12</v>
      </c>
    </row>
    <row r="1324" spans="1:8" x14ac:dyDescent="0.25">
      <c r="A1324" s="1">
        <v>45948</v>
      </c>
      <c r="B1324" t="s">
        <v>33</v>
      </c>
      <c r="C1324" t="s">
        <v>25</v>
      </c>
      <c r="D1324" t="s">
        <v>26</v>
      </c>
      <c r="E1324">
        <v>1</v>
      </c>
      <c r="F1324" s="3">
        <v>497</v>
      </c>
      <c r="G1324" t="s">
        <v>39</v>
      </c>
      <c r="H1324" t="s">
        <v>23</v>
      </c>
    </row>
    <row r="1325" spans="1:8" x14ac:dyDescent="0.25">
      <c r="A1325" s="1">
        <v>45877</v>
      </c>
      <c r="B1325" t="s">
        <v>46</v>
      </c>
      <c r="C1325" t="s">
        <v>44</v>
      </c>
      <c r="D1325" t="s">
        <v>45</v>
      </c>
      <c r="E1325">
        <v>20</v>
      </c>
      <c r="F1325" s="3">
        <v>14320</v>
      </c>
      <c r="G1325" t="s">
        <v>16</v>
      </c>
      <c r="H1325" t="s">
        <v>17</v>
      </c>
    </row>
    <row r="1326" spans="1:8" x14ac:dyDescent="0.25">
      <c r="A1326" s="1">
        <v>45849</v>
      </c>
      <c r="B1326" t="s">
        <v>20</v>
      </c>
      <c r="C1326" t="s">
        <v>44</v>
      </c>
      <c r="D1326" t="s">
        <v>45</v>
      </c>
      <c r="E1326">
        <v>6</v>
      </c>
      <c r="F1326" s="3">
        <v>4914</v>
      </c>
      <c r="G1326" t="s">
        <v>11</v>
      </c>
      <c r="H1326" t="s">
        <v>43</v>
      </c>
    </row>
    <row r="1327" spans="1:8" x14ac:dyDescent="0.25">
      <c r="A1327" s="1">
        <v>45439</v>
      </c>
      <c r="B1327" t="s">
        <v>13</v>
      </c>
      <c r="C1327" t="s">
        <v>30</v>
      </c>
      <c r="D1327" t="s">
        <v>15</v>
      </c>
      <c r="E1327">
        <v>18</v>
      </c>
      <c r="F1327" s="3">
        <v>10350</v>
      </c>
      <c r="G1327" t="s">
        <v>31</v>
      </c>
      <c r="H1327" t="s">
        <v>32</v>
      </c>
    </row>
    <row r="1328" spans="1:8" x14ac:dyDescent="0.25">
      <c r="A1328" s="1">
        <v>45621</v>
      </c>
      <c r="B1328" t="s">
        <v>8</v>
      </c>
      <c r="C1328" t="s">
        <v>35</v>
      </c>
      <c r="D1328" t="s">
        <v>36</v>
      </c>
      <c r="E1328">
        <v>17</v>
      </c>
      <c r="F1328" s="3">
        <v>30872</v>
      </c>
      <c r="G1328" t="s">
        <v>27</v>
      </c>
      <c r="H1328" t="s">
        <v>34</v>
      </c>
    </row>
    <row r="1329" spans="1:8" x14ac:dyDescent="0.25">
      <c r="A1329" s="1">
        <v>45336</v>
      </c>
      <c r="B1329" t="s">
        <v>47</v>
      </c>
      <c r="C1329" t="s">
        <v>44</v>
      </c>
      <c r="D1329" t="s">
        <v>45</v>
      </c>
      <c r="E1329">
        <v>17</v>
      </c>
      <c r="F1329" s="3">
        <v>11271</v>
      </c>
      <c r="G1329" t="s">
        <v>16</v>
      </c>
      <c r="H1329" t="s">
        <v>34</v>
      </c>
    </row>
    <row r="1330" spans="1:8" x14ac:dyDescent="0.25">
      <c r="A1330" s="1">
        <v>45456</v>
      </c>
      <c r="B1330" t="s">
        <v>18</v>
      </c>
      <c r="C1330" t="s">
        <v>35</v>
      </c>
      <c r="D1330" t="s">
        <v>36</v>
      </c>
      <c r="E1330">
        <v>15</v>
      </c>
      <c r="F1330" s="3">
        <v>6630</v>
      </c>
      <c r="G1330" t="s">
        <v>16</v>
      </c>
      <c r="H1330" t="s">
        <v>43</v>
      </c>
    </row>
    <row r="1331" spans="1:8" x14ac:dyDescent="0.25">
      <c r="A1331" s="1">
        <v>45472</v>
      </c>
      <c r="B1331" t="s">
        <v>18</v>
      </c>
      <c r="C1331" t="s">
        <v>38</v>
      </c>
      <c r="D1331" t="s">
        <v>22</v>
      </c>
      <c r="E1331">
        <v>19</v>
      </c>
      <c r="F1331" s="3">
        <v>9956</v>
      </c>
      <c r="G1331" t="s">
        <v>39</v>
      </c>
      <c r="H1331" t="s">
        <v>34</v>
      </c>
    </row>
    <row r="1332" spans="1:8" x14ac:dyDescent="0.25">
      <c r="A1332" s="1">
        <v>45858</v>
      </c>
      <c r="B1332" t="s">
        <v>20</v>
      </c>
      <c r="C1332" t="s">
        <v>21</v>
      </c>
      <c r="D1332" t="s">
        <v>22</v>
      </c>
      <c r="E1332">
        <v>8</v>
      </c>
      <c r="F1332" s="3">
        <v>6720</v>
      </c>
      <c r="G1332" t="s">
        <v>11</v>
      </c>
      <c r="H1332" t="s">
        <v>28</v>
      </c>
    </row>
    <row r="1333" spans="1:8" x14ac:dyDescent="0.25">
      <c r="A1333" s="1">
        <v>44933</v>
      </c>
      <c r="B1333" t="s">
        <v>29</v>
      </c>
      <c r="C1333" t="s">
        <v>37</v>
      </c>
      <c r="D1333" t="s">
        <v>15</v>
      </c>
      <c r="E1333">
        <v>4</v>
      </c>
      <c r="F1333" s="3">
        <v>1992</v>
      </c>
      <c r="G1333" t="s">
        <v>16</v>
      </c>
      <c r="H1333" t="s">
        <v>17</v>
      </c>
    </row>
    <row r="1334" spans="1:8" x14ac:dyDescent="0.25">
      <c r="A1334" s="1">
        <v>45355</v>
      </c>
      <c r="B1334" t="s">
        <v>48</v>
      </c>
      <c r="C1334" t="s">
        <v>14</v>
      </c>
      <c r="D1334" t="s">
        <v>15</v>
      </c>
      <c r="E1334">
        <v>19</v>
      </c>
      <c r="F1334" s="3">
        <v>18145</v>
      </c>
      <c r="G1334" t="s">
        <v>11</v>
      </c>
      <c r="H1334" t="s">
        <v>12</v>
      </c>
    </row>
    <row r="1335" spans="1:8" x14ac:dyDescent="0.25">
      <c r="A1335" s="1">
        <v>45090</v>
      </c>
      <c r="B1335" t="s">
        <v>18</v>
      </c>
      <c r="C1335" t="s">
        <v>44</v>
      </c>
      <c r="D1335" t="s">
        <v>45</v>
      </c>
      <c r="E1335">
        <v>18</v>
      </c>
      <c r="F1335" s="3">
        <v>22986</v>
      </c>
      <c r="G1335" t="s">
        <v>27</v>
      </c>
      <c r="H1335" t="s">
        <v>43</v>
      </c>
    </row>
    <row r="1336" spans="1:8" x14ac:dyDescent="0.25">
      <c r="A1336" s="1">
        <v>45434</v>
      </c>
      <c r="B1336" t="s">
        <v>13</v>
      </c>
      <c r="C1336" t="s">
        <v>30</v>
      </c>
      <c r="D1336" t="s">
        <v>15</v>
      </c>
      <c r="E1336">
        <v>1</v>
      </c>
      <c r="F1336" s="3">
        <v>938</v>
      </c>
      <c r="G1336" t="s">
        <v>11</v>
      </c>
      <c r="H1336" t="s">
        <v>17</v>
      </c>
    </row>
    <row r="1337" spans="1:8" x14ac:dyDescent="0.25">
      <c r="A1337" s="1">
        <v>45632</v>
      </c>
      <c r="B1337" t="s">
        <v>42</v>
      </c>
      <c r="C1337" t="s">
        <v>14</v>
      </c>
      <c r="D1337" t="s">
        <v>15</v>
      </c>
      <c r="E1337">
        <v>15</v>
      </c>
      <c r="F1337" s="3">
        <v>29310</v>
      </c>
      <c r="G1337" t="s">
        <v>16</v>
      </c>
      <c r="H1337" t="s">
        <v>28</v>
      </c>
    </row>
    <row r="1338" spans="1:8" x14ac:dyDescent="0.25">
      <c r="A1338" s="1">
        <v>45115</v>
      </c>
      <c r="B1338" t="s">
        <v>20</v>
      </c>
      <c r="C1338" t="s">
        <v>38</v>
      </c>
      <c r="D1338" t="s">
        <v>22</v>
      </c>
      <c r="E1338">
        <v>12</v>
      </c>
      <c r="F1338" s="3">
        <v>8964</v>
      </c>
      <c r="G1338" t="s">
        <v>11</v>
      </c>
      <c r="H1338" t="s">
        <v>34</v>
      </c>
    </row>
    <row r="1339" spans="1:8" x14ac:dyDescent="0.25">
      <c r="A1339" s="1">
        <v>45112</v>
      </c>
      <c r="B1339" t="s">
        <v>20</v>
      </c>
      <c r="C1339" t="s">
        <v>37</v>
      </c>
      <c r="D1339" t="s">
        <v>15</v>
      </c>
      <c r="E1339">
        <v>1</v>
      </c>
      <c r="F1339" s="3">
        <v>1566</v>
      </c>
      <c r="G1339" t="s">
        <v>27</v>
      </c>
      <c r="H1339" t="s">
        <v>28</v>
      </c>
    </row>
    <row r="1340" spans="1:8" x14ac:dyDescent="0.25">
      <c r="A1340" s="1">
        <v>45290</v>
      </c>
      <c r="B1340" t="s">
        <v>42</v>
      </c>
      <c r="C1340" t="s">
        <v>9</v>
      </c>
      <c r="D1340" t="s">
        <v>10</v>
      </c>
      <c r="E1340">
        <v>7</v>
      </c>
      <c r="F1340" s="3">
        <v>4067</v>
      </c>
      <c r="G1340" t="s">
        <v>16</v>
      </c>
      <c r="H1340" t="s">
        <v>43</v>
      </c>
    </row>
    <row r="1341" spans="1:8" x14ac:dyDescent="0.25">
      <c r="A1341" s="1">
        <v>45870</v>
      </c>
      <c r="B1341" t="s">
        <v>46</v>
      </c>
      <c r="C1341" t="s">
        <v>44</v>
      </c>
      <c r="D1341" t="s">
        <v>45</v>
      </c>
      <c r="E1341">
        <v>14</v>
      </c>
      <c r="F1341" s="3">
        <v>18466</v>
      </c>
      <c r="G1341" t="s">
        <v>39</v>
      </c>
      <c r="H1341" t="s">
        <v>32</v>
      </c>
    </row>
    <row r="1342" spans="1:8" x14ac:dyDescent="0.25">
      <c r="A1342" s="1">
        <v>44951</v>
      </c>
      <c r="B1342" t="s">
        <v>29</v>
      </c>
      <c r="C1342" t="s">
        <v>30</v>
      </c>
      <c r="D1342" t="s">
        <v>15</v>
      </c>
      <c r="E1342">
        <v>16</v>
      </c>
      <c r="F1342" s="3">
        <v>16304</v>
      </c>
      <c r="G1342" t="s">
        <v>31</v>
      </c>
      <c r="H1342" t="s">
        <v>32</v>
      </c>
    </row>
    <row r="1343" spans="1:8" x14ac:dyDescent="0.25">
      <c r="A1343" s="1">
        <v>45252</v>
      </c>
      <c r="B1343" t="s">
        <v>8</v>
      </c>
      <c r="C1343" t="s">
        <v>44</v>
      </c>
      <c r="D1343" t="s">
        <v>45</v>
      </c>
      <c r="E1343">
        <v>8</v>
      </c>
      <c r="F1343" s="3">
        <v>12280</v>
      </c>
      <c r="G1343" t="s">
        <v>11</v>
      </c>
      <c r="H1343" t="s">
        <v>28</v>
      </c>
    </row>
    <row r="1344" spans="1:8" x14ac:dyDescent="0.25">
      <c r="A1344" s="1">
        <v>45565</v>
      </c>
      <c r="B1344" t="s">
        <v>24</v>
      </c>
      <c r="C1344" t="s">
        <v>41</v>
      </c>
      <c r="D1344" t="s">
        <v>26</v>
      </c>
      <c r="E1344">
        <v>11</v>
      </c>
      <c r="F1344" s="3">
        <v>2970</v>
      </c>
      <c r="G1344" t="s">
        <v>31</v>
      </c>
      <c r="H1344" t="s">
        <v>34</v>
      </c>
    </row>
    <row r="1345" spans="1:8" x14ac:dyDescent="0.25">
      <c r="A1345" s="1">
        <v>45524</v>
      </c>
      <c r="B1345" t="s">
        <v>46</v>
      </c>
      <c r="C1345" t="s">
        <v>35</v>
      </c>
      <c r="D1345" t="s">
        <v>36</v>
      </c>
      <c r="E1345">
        <v>16</v>
      </c>
      <c r="F1345" s="3">
        <v>29472</v>
      </c>
      <c r="G1345" t="s">
        <v>31</v>
      </c>
      <c r="H1345" t="s">
        <v>12</v>
      </c>
    </row>
    <row r="1346" spans="1:8" x14ac:dyDescent="0.25">
      <c r="A1346" s="1">
        <v>45700</v>
      </c>
      <c r="B1346" t="s">
        <v>47</v>
      </c>
      <c r="C1346" t="s">
        <v>37</v>
      </c>
      <c r="D1346" t="s">
        <v>15</v>
      </c>
      <c r="E1346">
        <v>17</v>
      </c>
      <c r="F1346" s="3">
        <v>24667</v>
      </c>
      <c r="G1346" t="s">
        <v>16</v>
      </c>
      <c r="H1346" t="s">
        <v>17</v>
      </c>
    </row>
    <row r="1347" spans="1:8" x14ac:dyDescent="0.25">
      <c r="A1347" s="1">
        <v>45595</v>
      </c>
      <c r="B1347" t="s">
        <v>33</v>
      </c>
      <c r="C1347" t="s">
        <v>41</v>
      </c>
      <c r="D1347" t="s">
        <v>26</v>
      </c>
      <c r="E1347">
        <v>19</v>
      </c>
      <c r="F1347" s="3">
        <v>10013</v>
      </c>
      <c r="G1347" t="s">
        <v>11</v>
      </c>
      <c r="H1347" t="s">
        <v>17</v>
      </c>
    </row>
    <row r="1348" spans="1:8" x14ac:dyDescent="0.25">
      <c r="A1348" s="1">
        <v>45872</v>
      </c>
      <c r="B1348" t="s">
        <v>46</v>
      </c>
      <c r="C1348" t="s">
        <v>44</v>
      </c>
      <c r="D1348" t="s">
        <v>45</v>
      </c>
      <c r="E1348">
        <v>16</v>
      </c>
      <c r="F1348" s="3">
        <v>28656</v>
      </c>
      <c r="G1348" t="s">
        <v>39</v>
      </c>
      <c r="H1348" t="s">
        <v>19</v>
      </c>
    </row>
    <row r="1349" spans="1:8" x14ac:dyDescent="0.25">
      <c r="A1349" s="1">
        <v>45877</v>
      </c>
      <c r="B1349" t="s">
        <v>46</v>
      </c>
      <c r="C1349" t="s">
        <v>38</v>
      </c>
      <c r="D1349" t="s">
        <v>22</v>
      </c>
      <c r="E1349">
        <v>15</v>
      </c>
      <c r="F1349" s="3">
        <v>23010</v>
      </c>
      <c r="G1349" t="s">
        <v>11</v>
      </c>
      <c r="H1349" t="s">
        <v>23</v>
      </c>
    </row>
    <row r="1350" spans="1:8" x14ac:dyDescent="0.25">
      <c r="A1350" s="1">
        <v>45033</v>
      </c>
      <c r="B1350" t="s">
        <v>40</v>
      </c>
      <c r="C1350" t="s">
        <v>25</v>
      </c>
      <c r="D1350" t="s">
        <v>26</v>
      </c>
      <c r="E1350">
        <v>20</v>
      </c>
      <c r="F1350" s="3">
        <v>36520</v>
      </c>
      <c r="G1350" t="s">
        <v>39</v>
      </c>
      <c r="H1350" t="s">
        <v>28</v>
      </c>
    </row>
    <row r="1351" spans="1:8" x14ac:dyDescent="0.25">
      <c r="A1351" s="1">
        <v>44994</v>
      </c>
      <c r="B1351" t="s">
        <v>48</v>
      </c>
      <c r="C1351" t="s">
        <v>44</v>
      </c>
      <c r="D1351" t="s">
        <v>45</v>
      </c>
      <c r="E1351">
        <v>15</v>
      </c>
      <c r="F1351" s="3">
        <v>24435</v>
      </c>
      <c r="G1351" t="s">
        <v>31</v>
      </c>
      <c r="H1351" t="s">
        <v>19</v>
      </c>
    </row>
    <row r="1352" spans="1:8" x14ac:dyDescent="0.25">
      <c r="A1352" s="1">
        <v>45580</v>
      </c>
      <c r="B1352" t="s">
        <v>33</v>
      </c>
      <c r="C1352" t="s">
        <v>37</v>
      </c>
      <c r="D1352" t="s">
        <v>15</v>
      </c>
      <c r="E1352">
        <v>13</v>
      </c>
      <c r="F1352" s="3">
        <v>22867</v>
      </c>
      <c r="G1352" t="s">
        <v>11</v>
      </c>
      <c r="H1352" t="s">
        <v>12</v>
      </c>
    </row>
    <row r="1353" spans="1:8" x14ac:dyDescent="0.25">
      <c r="A1353" s="1">
        <v>45462</v>
      </c>
      <c r="B1353" t="s">
        <v>18</v>
      </c>
      <c r="C1353" t="s">
        <v>30</v>
      </c>
      <c r="D1353" t="s">
        <v>15</v>
      </c>
      <c r="E1353">
        <v>6</v>
      </c>
      <c r="F1353" s="3">
        <v>4068</v>
      </c>
      <c r="G1353" t="s">
        <v>39</v>
      </c>
      <c r="H1353" t="s">
        <v>34</v>
      </c>
    </row>
    <row r="1354" spans="1:8" x14ac:dyDescent="0.25">
      <c r="A1354" s="1">
        <v>45483</v>
      </c>
      <c r="B1354" t="s">
        <v>20</v>
      </c>
      <c r="C1354" t="s">
        <v>30</v>
      </c>
      <c r="D1354" t="s">
        <v>15</v>
      </c>
      <c r="E1354">
        <v>8</v>
      </c>
      <c r="F1354" s="3">
        <v>4112</v>
      </c>
      <c r="G1354" t="s">
        <v>11</v>
      </c>
      <c r="H1354" t="s">
        <v>17</v>
      </c>
    </row>
    <row r="1355" spans="1:8" x14ac:dyDescent="0.25">
      <c r="A1355" s="1">
        <v>45033</v>
      </c>
      <c r="B1355" t="s">
        <v>40</v>
      </c>
      <c r="C1355" t="s">
        <v>21</v>
      </c>
      <c r="D1355" t="s">
        <v>22</v>
      </c>
      <c r="E1355">
        <v>11</v>
      </c>
      <c r="F1355" s="3">
        <v>5599</v>
      </c>
      <c r="G1355" t="s">
        <v>31</v>
      </c>
      <c r="H1355" t="s">
        <v>19</v>
      </c>
    </row>
    <row r="1356" spans="1:8" x14ac:dyDescent="0.25">
      <c r="A1356" s="1">
        <v>45393</v>
      </c>
      <c r="B1356" t="s">
        <v>40</v>
      </c>
      <c r="C1356" t="s">
        <v>37</v>
      </c>
      <c r="D1356" t="s">
        <v>15</v>
      </c>
      <c r="E1356">
        <v>12</v>
      </c>
      <c r="F1356" s="3">
        <v>4944</v>
      </c>
      <c r="G1356" t="s">
        <v>11</v>
      </c>
      <c r="H1356" t="s">
        <v>17</v>
      </c>
    </row>
    <row r="1357" spans="1:8" x14ac:dyDescent="0.25">
      <c r="A1357" s="1">
        <v>45484</v>
      </c>
      <c r="B1357" t="s">
        <v>20</v>
      </c>
      <c r="C1357" t="s">
        <v>35</v>
      </c>
      <c r="D1357" t="s">
        <v>36</v>
      </c>
      <c r="E1357">
        <v>6</v>
      </c>
      <c r="F1357" s="3">
        <v>5730</v>
      </c>
      <c r="G1357" t="s">
        <v>11</v>
      </c>
      <c r="H1357" t="s">
        <v>17</v>
      </c>
    </row>
    <row r="1358" spans="1:8" x14ac:dyDescent="0.25">
      <c r="A1358" s="1">
        <v>45664</v>
      </c>
      <c r="B1358" t="s">
        <v>29</v>
      </c>
      <c r="C1358" t="s">
        <v>9</v>
      </c>
      <c r="D1358" t="s">
        <v>10</v>
      </c>
      <c r="E1358">
        <v>11</v>
      </c>
      <c r="F1358" s="3">
        <v>6567</v>
      </c>
      <c r="G1358" t="s">
        <v>31</v>
      </c>
      <c r="H1358" t="s">
        <v>19</v>
      </c>
    </row>
    <row r="1359" spans="1:8" x14ac:dyDescent="0.25">
      <c r="A1359" s="1">
        <v>45975</v>
      </c>
      <c r="B1359" t="s">
        <v>8</v>
      </c>
      <c r="C1359" t="s">
        <v>21</v>
      </c>
      <c r="D1359" t="s">
        <v>22</v>
      </c>
      <c r="E1359">
        <v>11</v>
      </c>
      <c r="F1359" s="3">
        <v>6072</v>
      </c>
      <c r="G1359" t="s">
        <v>39</v>
      </c>
      <c r="H1359" t="s">
        <v>32</v>
      </c>
    </row>
    <row r="1360" spans="1:8" x14ac:dyDescent="0.25">
      <c r="A1360" s="1">
        <v>46011</v>
      </c>
      <c r="B1360" t="s">
        <v>42</v>
      </c>
      <c r="C1360" t="s">
        <v>41</v>
      </c>
      <c r="D1360" t="s">
        <v>26</v>
      </c>
      <c r="E1360">
        <v>4</v>
      </c>
      <c r="F1360" s="3">
        <v>2700</v>
      </c>
      <c r="G1360" t="s">
        <v>39</v>
      </c>
      <c r="H1360" t="s">
        <v>32</v>
      </c>
    </row>
    <row r="1361" spans="1:8" x14ac:dyDescent="0.25">
      <c r="A1361" s="1">
        <v>45367</v>
      </c>
      <c r="B1361" t="s">
        <v>48</v>
      </c>
      <c r="C1361" t="s">
        <v>30</v>
      </c>
      <c r="D1361" t="s">
        <v>15</v>
      </c>
      <c r="E1361">
        <v>14</v>
      </c>
      <c r="F1361" s="3">
        <v>2016</v>
      </c>
      <c r="G1361" t="s">
        <v>11</v>
      </c>
      <c r="H1361" t="s">
        <v>34</v>
      </c>
    </row>
    <row r="1362" spans="1:8" x14ac:dyDescent="0.25">
      <c r="A1362" s="1">
        <v>45997</v>
      </c>
      <c r="B1362" t="s">
        <v>42</v>
      </c>
      <c r="C1362" t="s">
        <v>37</v>
      </c>
      <c r="D1362" t="s">
        <v>15</v>
      </c>
      <c r="E1362">
        <v>5</v>
      </c>
      <c r="F1362" s="3">
        <v>8215</v>
      </c>
      <c r="G1362" t="s">
        <v>11</v>
      </c>
      <c r="H1362" t="s">
        <v>43</v>
      </c>
    </row>
    <row r="1363" spans="1:8" x14ac:dyDescent="0.25">
      <c r="A1363" s="1">
        <v>45425</v>
      </c>
      <c r="B1363" t="s">
        <v>13</v>
      </c>
      <c r="C1363" t="s">
        <v>41</v>
      </c>
      <c r="D1363" t="s">
        <v>26</v>
      </c>
      <c r="E1363">
        <v>3</v>
      </c>
      <c r="F1363" s="3">
        <v>1692</v>
      </c>
      <c r="G1363" t="s">
        <v>16</v>
      </c>
      <c r="H1363" t="s">
        <v>19</v>
      </c>
    </row>
    <row r="1364" spans="1:8" x14ac:dyDescent="0.25">
      <c r="A1364" s="1">
        <v>44966</v>
      </c>
      <c r="B1364" t="s">
        <v>47</v>
      </c>
      <c r="C1364" t="s">
        <v>21</v>
      </c>
      <c r="D1364" t="s">
        <v>22</v>
      </c>
      <c r="E1364">
        <v>7</v>
      </c>
      <c r="F1364" s="3">
        <v>7182</v>
      </c>
      <c r="G1364" t="s">
        <v>11</v>
      </c>
      <c r="H1364" t="s">
        <v>23</v>
      </c>
    </row>
    <row r="1365" spans="1:8" x14ac:dyDescent="0.25">
      <c r="A1365" s="1">
        <v>45223</v>
      </c>
      <c r="B1365" t="s">
        <v>33</v>
      </c>
      <c r="C1365" t="s">
        <v>38</v>
      </c>
      <c r="D1365" t="s">
        <v>22</v>
      </c>
      <c r="E1365">
        <v>8</v>
      </c>
      <c r="F1365" s="3">
        <v>13400</v>
      </c>
      <c r="G1365" t="s">
        <v>16</v>
      </c>
      <c r="H1365" t="s">
        <v>12</v>
      </c>
    </row>
    <row r="1366" spans="1:8" x14ac:dyDescent="0.25">
      <c r="A1366" s="1">
        <v>45751</v>
      </c>
      <c r="B1366" t="s">
        <v>40</v>
      </c>
      <c r="C1366" t="s">
        <v>37</v>
      </c>
      <c r="D1366" t="s">
        <v>15</v>
      </c>
      <c r="E1366">
        <v>18</v>
      </c>
      <c r="F1366" s="3">
        <v>2628</v>
      </c>
      <c r="G1366" t="s">
        <v>16</v>
      </c>
      <c r="H1366" t="s">
        <v>23</v>
      </c>
    </row>
    <row r="1367" spans="1:8" x14ac:dyDescent="0.25">
      <c r="A1367" s="1">
        <v>45330</v>
      </c>
      <c r="B1367" t="s">
        <v>47</v>
      </c>
      <c r="C1367" t="s">
        <v>37</v>
      </c>
      <c r="D1367" t="s">
        <v>15</v>
      </c>
      <c r="E1367">
        <v>1</v>
      </c>
      <c r="F1367" s="3">
        <v>1658</v>
      </c>
      <c r="G1367" t="s">
        <v>39</v>
      </c>
      <c r="H1367" t="s">
        <v>43</v>
      </c>
    </row>
    <row r="1368" spans="1:8" x14ac:dyDescent="0.25">
      <c r="A1368" s="1">
        <v>45975</v>
      </c>
      <c r="B1368" t="s">
        <v>8</v>
      </c>
      <c r="C1368" t="s">
        <v>38</v>
      </c>
      <c r="D1368" t="s">
        <v>22</v>
      </c>
      <c r="E1368">
        <v>1</v>
      </c>
      <c r="F1368" s="3">
        <v>850</v>
      </c>
      <c r="G1368" t="s">
        <v>11</v>
      </c>
      <c r="H1368" t="s">
        <v>12</v>
      </c>
    </row>
    <row r="1369" spans="1:8" x14ac:dyDescent="0.25">
      <c r="A1369" s="1">
        <v>45668</v>
      </c>
      <c r="B1369" t="s">
        <v>29</v>
      </c>
      <c r="C1369" t="s">
        <v>9</v>
      </c>
      <c r="D1369" t="s">
        <v>10</v>
      </c>
      <c r="E1369">
        <v>14</v>
      </c>
      <c r="F1369" s="3">
        <v>6174</v>
      </c>
      <c r="G1369" t="s">
        <v>27</v>
      </c>
      <c r="H1369" t="s">
        <v>28</v>
      </c>
    </row>
    <row r="1370" spans="1:8" x14ac:dyDescent="0.25">
      <c r="A1370" s="1">
        <v>45934</v>
      </c>
      <c r="B1370" t="s">
        <v>33</v>
      </c>
      <c r="C1370" t="s">
        <v>41</v>
      </c>
      <c r="D1370" t="s">
        <v>26</v>
      </c>
      <c r="E1370">
        <v>3</v>
      </c>
      <c r="F1370" s="3">
        <v>2745</v>
      </c>
      <c r="G1370" t="s">
        <v>31</v>
      </c>
      <c r="H1370" t="s">
        <v>19</v>
      </c>
    </row>
    <row r="1371" spans="1:8" x14ac:dyDescent="0.25">
      <c r="A1371" s="1">
        <v>45822</v>
      </c>
      <c r="B1371" t="s">
        <v>18</v>
      </c>
      <c r="C1371" t="s">
        <v>25</v>
      </c>
      <c r="D1371" t="s">
        <v>26</v>
      </c>
      <c r="E1371">
        <v>17</v>
      </c>
      <c r="F1371" s="3">
        <v>12767</v>
      </c>
      <c r="G1371" t="s">
        <v>39</v>
      </c>
      <c r="H1371" t="s">
        <v>28</v>
      </c>
    </row>
    <row r="1372" spans="1:8" x14ac:dyDescent="0.25">
      <c r="A1372" s="1">
        <v>45506</v>
      </c>
      <c r="B1372" t="s">
        <v>46</v>
      </c>
      <c r="C1372" t="s">
        <v>41</v>
      </c>
      <c r="D1372" t="s">
        <v>26</v>
      </c>
      <c r="E1372">
        <v>14</v>
      </c>
      <c r="F1372" s="3">
        <v>24360</v>
      </c>
      <c r="G1372" t="s">
        <v>16</v>
      </c>
      <c r="H1372" t="s">
        <v>19</v>
      </c>
    </row>
    <row r="1373" spans="1:8" x14ac:dyDescent="0.25">
      <c r="A1373" s="1">
        <v>45838</v>
      </c>
      <c r="B1373" t="s">
        <v>18</v>
      </c>
      <c r="C1373" t="s">
        <v>44</v>
      </c>
      <c r="D1373" t="s">
        <v>45</v>
      </c>
      <c r="E1373">
        <v>19</v>
      </c>
      <c r="F1373" s="3">
        <v>11267</v>
      </c>
      <c r="G1373" t="s">
        <v>31</v>
      </c>
      <c r="H1373" t="s">
        <v>23</v>
      </c>
    </row>
    <row r="1374" spans="1:8" x14ac:dyDescent="0.25">
      <c r="A1374" s="1">
        <v>45063</v>
      </c>
      <c r="B1374" t="s">
        <v>13</v>
      </c>
      <c r="C1374" t="s">
        <v>44</v>
      </c>
      <c r="D1374" t="s">
        <v>45</v>
      </c>
      <c r="E1374">
        <v>4</v>
      </c>
      <c r="F1374" s="3">
        <v>7696</v>
      </c>
      <c r="G1374" t="s">
        <v>11</v>
      </c>
      <c r="H1374" t="s">
        <v>32</v>
      </c>
    </row>
    <row r="1375" spans="1:8" x14ac:dyDescent="0.25">
      <c r="A1375" s="1">
        <v>45681</v>
      </c>
      <c r="B1375" t="s">
        <v>29</v>
      </c>
      <c r="C1375" t="s">
        <v>14</v>
      </c>
      <c r="D1375" t="s">
        <v>15</v>
      </c>
      <c r="E1375">
        <v>1</v>
      </c>
      <c r="F1375" s="3">
        <v>640</v>
      </c>
      <c r="G1375" t="s">
        <v>11</v>
      </c>
      <c r="H1375" t="s">
        <v>43</v>
      </c>
    </row>
    <row r="1376" spans="1:8" x14ac:dyDescent="0.25">
      <c r="A1376" s="1">
        <v>45538</v>
      </c>
      <c r="B1376" t="s">
        <v>24</v>
      </c>
      <c r="C1376" t="s">
        <v>44</v>
      </c>
      <c r="D1376" t="s">
        <v>45</v>
      </c>
      <c r="E1376">
        <v>17</v>
      </c>
      <c r="F1376" s="3">
        <v>25942</v>
      </c>
      <c r="G1376" t="s">
        <v>16</v>
      </c>
      <c r="H1376" t="s">
        <v>28</v>
      </c>
    </row>
    <row r="1377" spans="1:8" x14ac:dyDescent="0.25">
      <c r="A1377" s="1">
        <v>45197</v>
      </c>
      <c r="B1377" t="s">
        <v>24</v>
      </c>
      <c r="C1377" t="s">
        <v>44</v>
      </c>
      <c r="D1377" t="s">
        <v>45</v>
      </c>
      <c r="E1377">
        <v>6</v>
      </c>
      <c r="F1377" s="3">
        <v>11388</v>
      </c>
      <c r="G1377" t="s">
        <v>16</v>
      </c>
      <c r="H1377" t="s">
        <v>32</v>
      </c>
    </row>
    <row r="1378" spans="1:8" x14ac:dyDescent="0.25">
      <c r="A1378" s="1">
        <v>45664</v>
      </c>
      <c r="B1378" t="s">
        <v>29</v>
      </c>
      <c r="C1378" t="s">
        <v>35</v>
      </c>
      <c r="D1378" t="s">
        <v>36</v>
      </c>
      <c r="E1378">
        <v>10</v>
      </c>
      <c r="F1378" s="3">
        <v>8190</v>
      </c>
      <c r="G1378" t="s">
        <v>16</v>
      </c>
      <c r="H1378" t="s">
        <v>12</v>
      </c>
    </row>
    <row r="1379" spans="1:8" x14ac:dyDescent="0.25">
      <c r="A1379" s="1">
        <v>46003</v>
      </c>
      <c r="B1379" t="s">
        <v>42</v>
      </c>
      <c r="C1379" t="s">
        <v>37</v>
      </c>
      <c r="D1379" t="s">
        <v>15</v>
      </c>
      <c r="E1379">
        <v>19</v>
      </c>
      <c r="F1379" s="3">
        <v>16397</v>
      </c>
      <c r="G1379" t="s">
        <v>39</v>
      </c>
      <c r="H1379" t="s">
        <v>17</v>
      </c>
    </row>
    <row r="1380" spans="1:8" x14ac:dyDescent="0.25">
      <c r="A1380" s="1">
        <v>44990</v>
      </c>
      <c r="B1380" t="s">
        <v>48</v>
      </c>
      <c r="C1380" t="s">
        <v>14</v>
      </c>
      <c r="D1380" t="s">
        <v>15</v>
      </c>
      <c r="E1380">
        <v>13</v>
      </c>
      <c r="F1380" s="3">
        <v>7332</v>
      </c>
      <c r="G1380" t="s">
        <v>11</v>
      </c>
      <c r="H1380" t="s">
        <v>28</v>
      </c>
    </row>
    <row r="1381" spans="1:8" x14ac:dyDescent="0.25">
      <c r="A1381" s="1">
        <v>45697</v>
      </c>
      <c r="B1381" t="s">
        <v>47</v>
      </c>
      <c r="C1381" t="s">
        <v>25</v>
      </c>
      <c r="D1381" t="s">
        <v>26</v>
      </c>
      <c r="E1381">
        <v>17</v>
      </c>
      <c r="F1381" s="3">
        <v>27489</v>
      </c>
      <c r="G1381" t="s">
        <v>11</v>
      </c>
      <c r="H1381" t="s">
        <v>17</v>
      </c>
    </row>
    <row r="1382" spans="1:8" x14ac:dyDescent="0.25">
      <c r="A1382" s="1">
        <v>45385</v>
      </c>
      <c r="B1382" t="s">
        <v>40</v>
      </c>
      <c r="C1382" t="s">
        <v>41</v>
      </c>
      <c r="D1382" t="s">
        <v>26</v>
      </c>
      <c r="E1382">
        <v>6</v>
      </c>
      <c r="F1382" s="3">
        <v>2364</v>
      </c>
      <c r="G1382" t="s">
        <v>27</v>
      </c>
      <c r="H1382" t="s">
        <v>32</v>
      </c>
    </row>
    <row r="1383" spans="1:8" x14ac:dyDescent="0.25">
      <c r="A1383" s="1">
        <v>45309</v>
      </c>
      <c r="B1383" t="s">
        <v>29</v>
      </c>
      <c r="C1383" t="s">
        <v>14</v>
      </c>
      <c r="D1383" t="s">
        <v>15</v>
      </c>
      <c r="E1383">
        <v>7</v>
      </c>
      <c r="F1383" s="3">
        <v>2737</v>
      </c>
      <c r="G1383" t="s">
        <v>39</v>
      </c>
      <c r="H1383" t="s">
        <v>23</v>
      </c>
    </row>
    <row r="1384" spans="1:8" x14ac:dyDescent="0.25">
      <c r="A1384" s="1">
        <v>45162</v>
      </c>
      <c r="B1384" t="s">
        <v>46</v>
      </c>
      <c r="C1384" t="s">
        <v>9</v>
      </c>
      <c r="D1384" t="s">
        <v>10</v>
      </c>
      <c r="E1384">
        <v>14</v>
      </c>
      <c r="F1384" s="3">
        <v>1456</v>
      </c>
      <c r="G1384" t="s">
        <v>27</v>
      </c>
      <c r="H1384" t="s">
        <v>32</v>
      </c>
    </row>
    <row r="1385" spans="1:8" x14ac:dyDescent="0.25">
      <c r="A1385" s="1">
        <v>45834</v>
      </c>
      <c r="B1385" t="s">
        <v>18</v>
      </c>
      <c r="C1385" t="s">
        <v>35</v>
      </c>
      <c r="D1385" t="s">
        <v>36</v>
      </c>
      <c r="E1385">
        <v>18</v>
      </c>
      <c r="F1385" s="3">
        <v>3150</v>
      </c>
      <c r="G1385" t="s">
        <v>27</v>
      </c>
      <c r="H1385" t="s">
        <v>32</v>
      </c>
    </row>
    <row r="1386" spans="1:8" x14ac:dyDescent="0.25">
      <c r="A1386" s="1">
        <v>45280</v>
      </c>
      <c r="B1386" t="s">
        <v>42</v>
      </c>
      <c r="C1386" t="s">
        <v>25</v>
      </c>
      <c r="D1386" t="s">
        <v>26</v>
      </c>
      <c r="E1386">
        <v>1</v>
      </c>
      <c r="F1386" s="3">
        <v>1786</v>
      </c>
      <c r="G1386" t="s">
        <v>31</v>
      </c>
      <c r="H1386" t="s">
        <v>34</v>
      </c>
    </row>
    <row r="1387" spans="1:8" x14ac:dyDescent="0.25">
      <c r="A1387" s="1">
        <v>45747</v>
      </c>
      <c r="B1387" t="s">
        <v>48</v>
      </c>
      <c r="C1387" t="s">
        <v>30</v>
      </c>
      <c r="D1387" t="s">
        <v>15</v>
      </c>
      <c r="E1387">
        <v>12</v>
      </c>
      <c r="F1387" s="3">
        <v>1392</v>
      </c>
      <c r="G1387" t="s">
        <v>16</v>
      </c>
      <c r="H1387" t="s">
        <v>43</v>
      </c>
    </row>
    <row r="1388" spans="1:8" x14ac:dyDescent="0.25">
      <c r="A1388" s="1">
        <v>45029</v>
      </c>
      <c r="B1388" t="s">
        <v>40</v>
      </c>
      <c r="C1388" t="s">
        <v>37</v>
      </c>
      <c r="D1388" t="s">
        <v>15</v>
      </c>
      <c r="E1388">
        <v>8</v>
      </c>
      <c r="F1388" s="3">
        <v>3336</v>
      </c>
      <c r="G1388" t="s">
        <v>16</v>
      </c>
      <c r="H1388" t="s">
        <v>34</v>
      </c>
    </row>
    <row r="1389" spans="1:8" x14ac:dyDescent="0.25">
      <c r="A1389" s="1">
        <v>45863</v>
      </c>
      <c r="B1389" t="s">
        <v>20</v>
      </c>
      <c r="C1389" t="s">
        <v>38</v>
      </c>
      <c r="D1389" t="s">
        <v>22</v>
      </c>
      <c r="E1389">
        <v>10</v>
      </c>
      <c r="F1389" s="3">
        <v>5900</v>
      </c>
      <c r="G1389" t="s">
        <v>27</v>
      </c>
      <c r="H1389" t="s">
        <v>43</v>
      </c>
    </row>
    <row r="1390" spans="1:8" x14ac:dyDescent="0.25">
      <c r="A1390" s="1">
        <v>45042</v>
      </c>
      <c r="B1390" t="s">
        <v>40</v>
      </c>
      <c r="C1390" t="s">
        <v>35</v>
      </c>
      <c r="D1390" t="s">
        <v>36</v>
      </c>
      <c r="E1390">
        <v>18</v>
      </c>
      <c r="F1390" s="3">
        <v>34272</v>
      </c>
      <c r="G1390" t="s">
        <v>16</v>
      </c>
      <c r="H1390" t="s">
        <v>34</v>
      </c>
    </row>
    <row r="1391" spans="1:8" x14ac:dyDescent="0.25">
      <c r="A1391" s="1">
        <v>44928</v>
      </c>
      <c r="B1391" t="s">
        <v>29</v>
      </c>
      <c r="C1391" t="s">
        <v>14</v>
      </c>
      <c r="D1391" t="s">
        <v>15</v>
      </c>
      <c r="E1391">
        <v>18</v>
      </c>
      <c r="F1391" s="3">
        <v>20052</v>
      </c>
      <c r="G1391" t="s">
        <v>11</v>
      </c>
      <c r="H1391" t="s">
        <v>12</v>
      </c>
    </row>
    <row r="1392" spans="1:8" x14ac:dyDescent="0.25">
      <c r="A1392" s="1">
        <v>45168</v>
      </c>
      <c r="B1392" t="s">
        <v>46</v>
      </c>
      <c r="C1392" t="s">
        <v>21</v>
      </c>
      <c r="D1392" t="s">
        <v>22</v>
      </c>
      <c r="E1392">
        <v>14</v>
      </c>
      <c r="F1392" s="3">
        <v>6188</v>
      </c>
      <c r="G1392" t="s">
        <v>16</v>
      </c>
      <c r="H1392" t="s">
        <v>32</v>
      </c>
    </row>
    <row r="1393" spans="1:8" x14ac:dyDescent="0.25">
      <c r="A1393" s="1">
        <v>45604</v>
      </c>
      <c r="B1393" t="s">
        <v>8</v>
      </c>
      <c r="C1393" t="s">
        <v>25</v>
      </c>
      <c r="D1393" t="s">
        <v>26</v>
      </c>
      <c r="E1393">
        <v>13</v>
      </c>
      <c r="F1393" s="3">
        <v>8645</v>
      </c>
      <c r="G1393" t="s">
        <v>11</v>
      </c>
      <c r="H1393" t="s">
        <v>17</v>
      </c>
    </row>
    <row r="1394" spans="1:8" x14ac:dyDescent="0.25">
      <c r="A1394" s="1">
        <v>44945</v>
      </c>
      <c r="B1394" t="s">
        <v>29</v>
      </c>
      <c r="C1394" t="s">
        <v>35</v>
      </c>
      <c r="D1394" t="s">
        <v>36</v>
      </c>
      <c r="E1394">
        <v>19</v>
      </c>
      <c r="F1394" s="3">
        <v>29811</v>
      </c>
      <c r="G1394" t="s">
        <v>39</v>
      </c>
      <c r="H1394" t="s">
        <v>34</v>
      </c>
    </row>
    <row r="1395" spans="1:8" x14ac:dyDescent="0.25">
      <c r="A1395" s="1">
        <v>44945</v>
      </c>
      <c r="B1395" t="s">
        <v>29</v>
      </c>
      <c r="C1395" t="s">
        <v>41</v>
      </c>
      <c r="D1395" t="s">
        <v>26</v>
      </c>
      <c r="E1395">
        <v>11</v>
      </c>
      <c r="F1395" s="3">
        <v>14718</v>
      </c>
      <c r="G1395" t="s">
        <v>11</v>
      </c>
      <c r="H1395" t="s">
        <v>43</v>
      </c>
    </row>
    <row r="1396" spans="1:8" x14ac:dyDescent="0.25">
      <c r="A1396" s="1">
        <v>45323</v>
      </c>
      <c r="B1396" t="s">
        <v>47</v>
      </c>
      <c r="C1396" t="s">
        <v>21</v>
      </c>
      <c r="D1396" t="s">
        <v>22</v>
      </c>
      <c r="E1396">
        <v>2</v>
      </c>
      <c r="F1396" s="3">
        <v>2998</v>
      </c>
      <c r="G1396" t="s">
        <v>16</v>
      </c>
      <c r="H1396" t="s">
        <v>32</v>
      </c>
    </row>
    <row r="1397" spans="1:8" x14ac:dyDescent="0.25">
      <c r="A1397" s="1">
        <v>45357</v>
      </c>
      <c r="B1397" t="s">
        <v>48</v>
      </c>
      <c r="C1397" t="s">
        <v>14</v>
      </c>
      <c r="D1397" t="s">
        <v>15</v>
      </c>
      <c r="E1397">
        <v>5</v>
      </c>
      <c r="F1397" s="3">
        <v>6080</v>
      </c>
      <c r="G1397" t="s">
        <v>11</v>
      </c>
      <c r="H1397" t="s">
        <v>43</v>
      </c>
    </row>
    <row r="1398" spans="1:8" x14ac:dyDescent="0.25">
      <c r="A1398" s="1">
        <v>45794</v>
      </c>
      <c r="B1398" t="s">
        <v>13</v>
      </c>
      <c r="C1398" t="s">
        <v>14</v>
      </c>
      <c r="D1398" t="s">
        <v>15</v>
      </c>
      <c r="E1398">
        <v>14</v>
      </c>
      <c r="F1398" s="3">
        <v>22078</v>
      </c>
      <c r="G1398" t="s">
        <v>16</v>
      </c>
      <c r="H1398" t="s">
        <v>43</v>
      </c>
    </row>
    <row r="1399" spans="1:8" x14ac:dyDescent="0.25">
      <c r="A1399" s="1">
        <v>45379</v>
      </c>
      <c r="B1399" t="s">
        <v>48</v>
      </c>
      <c r="C1399" t="s">
        <v>21</v>
      </c>
      <c r="D1399" t="s">
        <v>22</v>
      </c>
      <c r="E1399">
        <v>15</v>
      </c>
      <c r="F1399" s="3">
        <v>27435</v>
      </c>
      <c r="G1399" t="s">
        <v>31</v>
      </c>
      <c r="H1399" t="s">
        <v>19</v>
      </c>
    </row>
    <row r="1400" spans="1:8" x14ac:dyDescent="0.25">
      <c r="A1400" s="1">
        <v>45778</v>
      </c>
      <c r="B1400" t="s">
        <v>13</v>
      </c>
      <c r="C1400" t="s">
        <v>41</v>
      </c>
      <c r="D1400" t="s">
        <v>26</v>
      </c>
      <c r="E1400">
        <v>17</v>
      </c>
      <c r="F1400" s="3">
        <v>15062</v>
      </c>
      <c r="G1400" t="s">
        <v>16</v>
      </c>
      <c r="H1400" t="s">
        <v>23</v>
      </c>
    </row>
    <row r="1401" spans="1:8" x14ac:dyDescent="0.25">
      <c r="A1401" s="1">
        <v>45516</v>
      </c>
      <c r="B1401" t="s">
        <v>46</v>
      </c>
      <c r="C1401" t="s">
        <v>30</v>
      </c>
      <c r="D1401" t="s">
        <v>15</v>
      </c>
      <c r="E1401">
        <v>13</v>
      </c>
      <c r="F1401" s="3">
        <v>1989</v>
      </c>
      <c r="G1401" t="s">
        <v>16</v>
      </c>
      <c r="H1401" t="s">
        <v>43</v>
      </c>
    </row>
    <row r="1402" spans="1:8" x14ac:dyDescent="0.25">
      <c r="A1402" s="1">
        <v>45530</v>
      </c>
      <c r="B1402" t="s">
        <v>46</v>
      </c>
      <c r="C1402" t="s">
        <v>25</v>
      </c>
      <c r="D1402" t="s">
        <v>26</v>
      </c>
      <c r="E1402">
        <v>12</v>
      </c>
      <c r="F1402" s="3">
        <v>23928</v>
      </c>
      <c r="G1402" t="s">
        <v>27</v>
      </c>
      <c r="H1402" t="s">
        <v>19</v>
      </c>
    </row>
    <row r="1403" spans="1:8" x14ac:dyDescent="0.25">
      <c r="A1403" s="1">
        <v>45448</v>
      </c>
      <c r="B1403" t="s">
        <v>18</v>
      </c>
      <c r="C1403" t="s">
        <v>35</v>
      </c>
      <c r="D1403" t="s">
        <v>36</v>
      </c>
      <c r="E1403">
        <v>20</v>
      </c>
      <c r="F1403" s="3">
        <v>29900</v>
      </c>
      <c r="G1403" t="s">
        <v>16</v>
      </c>
      <c r="H1403" t="s">
        <v>19</v>
      </c>
    </row>
    <row r="1404" spans="1:8" x14ac:dyDescent="0.25">
      <c r="A1404" s="1">
        <v>45355</v>
      </c>
      <c r="B1404" t="s">
        <v>48</v>
      </c>
      <c r="C1404" t="s">
        <v>38</v>
      </c>
      <c r="D1404" t="s">
        <v>22</v>
      </c>
      <c r="E1404">
        <v>13</v>
      </c>
      <c r="F1404" s="3">
        <v>20475</v>
      </c>
      <c r="G1404" t="s">
        <v>39</v>
      </c>
      <c r="H1404" t="s">
        <v>43</v>
      </c>
    </row>
    <row r="1405" spans="1:8" x14ac:dyDescent="0.25">
      <c r="A1405" s="1">
        <v>45987</v>
      </c>
      <c r="B1405" t="s">
        <v>8</v>
      </c>
      <c r="C1405" t="s">
        <v>25</v>
      </c>
      <c r="D1405" t="s">
        <v>26</v>
      </c>
      <c r="E1405">
        <v>8</v>
      </c>
      <c r="F1405" s="3">
        <v>10720</v>
      </c>
      <c r="G1405" t="s">
        <v>27</v>
      </c>
      <c r="H1405" t="s">
        <v>32</v>
      </c>
    </row>
    <row r="1406" spans="1:8" x14ac:dyDescent="0.25">
      <c r="A1406" s="1">
        <v>45411</v>
      </c>
      <c r="B1406" t="s">
        <v>40</v>
      </c>
      <c r="C1406" t="s">
        <v>41</v>
      </c>
      <c r="D1406" t="s">
        <v>26</v>
      </c>
      <c r="E1406">
        <v>11</v>
      </c>
      <c r="F1406" s="3">
        <v>10450</v>
      </c>
      <c r="G1406" t="s">
        <v>39</v>
      </c>
      <c r="H1406" t="s">
        <v>32</v>
      </c>
    </row>
    <row r="1407" spans="1:8" x14ac:dyDescent="0.25">
      <c r="A1407" s="1">
        <v>45033</v>
      </c>
      <c r="B1407" t="s">
        <v>40</v>
      </c>
      <c r="C1407" t="s">
        <v>44</v>
      </c>
      <c r="D1407" t="s">
        <v>45</v>
      </c>
      <c r="E1407">
        <v>20</v>
      </c>
      <c r="F1407" s="3">
        <v>29580</v>
      </c>
      <c r="G1407" t="s">
        <v>39</v>
      </c>
      <c r="H1407" t="s">
        <v>28</v>
      </c>
    </row>
    <row r="1408" spans="1:8" x14ac:dyDescent="0.25">
      <c r="A1408" s="1">
        <v>44961</v>
      </c>
      <c r="B1408" t="s">
        <v>47</v>
      </c>
      <c r="C1408" t="s">
        <v>14</v>
      </c>
      <c r="D1408" t="s">
        <v>15</v>
      </c>
      <c r="E1408">
        <v>12</v>
      </c>
      <c r="F1408" s="3">
        <v>1056</v>
      </c>
      <c r="G1408" t="s">
        <v>31</v>
      </c>
      <c r="H1408" t="s">
        <v>12</v>
      </c>
    </row>
    <row r="1409" spans="1:8" x14ac:dyDescent="0.25">
      <c r="A1409" s="1">
        <v>45467</v>
      </c>
      <c r="B1409" t="s">
        <v>18</v>
      </c>
      <c r="C1409" t="s">
        <v>9</v>
      </c>
      <c r="D1409" t="s">
        <v>10</v>
      </c>
      <c r="E1409">
        <v>5</v>
      </c>
      <c r="F1409" s="3">
        <v>5310</v>
      </c>
      <c r="G1409" t="s">
        <v>39</v>
      </c>
      <c r="H1409" t="s">
        <v>34</v>
      </c>
    </row>
    <row r="1410" spans="1:8" x14ac:dyDescent="0.25">
      <c r="A1410" s="1">
        <v>45957</v>
      </c>
      <c r="B1410" t="s">
        <v>33</v>
      </c>
      <c r="C1410" t="s">
        <v>35</v>
      </c>
      <c r="D1410" t="s">
        <v>36</v>
      </c>
      <c r="E1410">
        <v>10</v>
      </c>
      <c r="F1410" s="3">
        <v>15740</v>
      </c>
      <c r="G1410" t="s">
        <v>11</v>
      </c>
      <c r="H1410" t="s">
        <v>19</v>
      </c>
    </row>
    <row r="1411" spans="1:8" x14ac:dyDescent="0.25">
      <c r="A1411" s="1">
        <v>45174</v>
      </c>
      <c r="B1411" t="s">
        <v>24</v>
      </c>
      <c r="C1411" t="s">
        <v>38</v>
      </c>
      <c r="D1411" t="s">
        <v>22</v>
      </c>
      <c r="E1411">
        <v>6</v>
      </c>
      <c r="F1411" s="3">
        <v>10134</v>
      </c>
      <c r="G1411" t="s">
        <v>11</v>
      </c>
      <c r="H1411" t="s">
        <v>28</v>
      </c>
    </row>
    <row r="1412" spans="1:8" x14ac:dyDescent="0.25">
      <c r="A1412" s="1">
        <v>45149</v>
      </c>
      <c r="B1412" t="s">
        <v>46</v>
      </c>
      <c r="C1412" t="s">
        <v>30</v>
      </c>
      <c r="D1412" t="s">
        <v>15</v>
      </c>
      <c r="E1412">
        <v>10</v>
      </c>
      <c r="F1412" s="3">
        <v>580</v>
      </c>
      <c r="G1412" t="s">
        <v>16</v>
      </c>
      <c r="H1412" t="s">
        <v>23</v>
      </c>
    </row>
    <row r="1413" spans="1:8" x14ac:dyDescent="0.25">
      <c r="A1413" s="1">
        <v>45738</v>
      </c>
      <c r="B1413" t="s">
        <v>48</v>
      </c>
      <c r="C1413" t="s">
        <v>30</v>
      </c>
      <c r="D1413" t="s">
        <v>15</v>
      </c>
      <c r="E1413">
        <v>9</v>
      </c>
      <c r="F1413" s="3">
        <v>558</v>
      </c>
      <c r="G1413" t="s">
        <v>16</v>
      </c>
      <c r="H1413" t="s">
        <v>17</v>
      </c>
    </row>
    <row r="1414" spans="1:8" x14ac:dyDescent="0.25">
      <c r="A1414" s="1">
        <v>44940</v>
      </c>
      <c r="B1414" t="s">
        <v>29</v>
      </c>
      <c r="C1414" t="s">
        <v>21</v>
      </c>
      <c r="D1414" t="s">
        <v>22</v>
      </c>
      <c r="E1414">
        <v>8</v>
      </c>
      <c r="F1414" s="3">
        <v>11480</v>
      </c>
      <c r="G1414" t="s">
        <v>27</v>
      </c>
      <c r="H1414" t="s">
        <v>12</v>
      </c>
    </row>
    <row r="1415" spans="1:8" x14ac:dyDescent="0.25">
      <c r="A1415" s="1">
        <v>45491</v>
      </c>
      <c r="B1415" t="s">
        <v>20</v>
      </c>
      <c r="C1415" t="s">
        <v>44</v>
      </c>
      <c r="D1415" t="s">
        <v>45</v>
      </c>
      <c r="E1415">
        <v>20</v>
      </c>
      <c r="F1415" s="3">
        <v>17960</v>
      </c>
      <c r="G1415" t="s">
        <v>16</v>
      </c>
      <c r="H1415" t="s">
        <v>12</v>
      </c>
    </row>
    <row r="1416" spans="1:8" x14ac:dyDescent="0.25">
      <c r="A1416" s="1">
        <v>45074</v>
      </c>
      <c r="B1416" t="s">
        <v>13</v>
      </c>
      <c r="C1416" t="s">
        <v>44</v>
      </c>
      <c r="D1416" t="s">
        <v>45</v>
      </c>
      <c r="E1416">
        <v>2</v>
      </c>
      <c r="F1416" s="3">
        <v>3972</v>
      </c>
      <c r="G1416" t="s">
        <v>11</v>
      </c>
      <c r="H1416" t="s">
        <v>19</v>
      </c>
    </row>
    <row r="1417" spans="1:8" x14ac:dyDescent="0.25">
      <c r="A1417" s="1">
        <v>45073</v>
      </c>
      <c r="B1417" t="s">
        <v>13</v>
      </c>
      <c r="C1417" t="s">
        <v>30</v>
      </c>
      <c r="D1417" t="s">
        <v>15</v>
      </c>
      <c r="E1417">
        <v>2</v>
      </c>
      <c r="F1417" s="3">
        <v>1376</v>
      </c>
      <c r="G1417" t="s">
        <v>31</v>
      </c>
      <c r="H1417" t="s">
        <v>17</v>
      </c>
    </row>
    <row r="1418" spans="1:8" x14ac:dyDescent="0.25">
      <c r="A1418" s="1">
        <v>45848</v>
      </c>
      <c r="B1418" t="s">
        <v>20</v>
      </c>
      <c r="C1418" t="s">
        <v>44</v>
      </c>
      <c r="D1418" t="s">
        <v>45</v>
      </c>
      <c r="E1418">
        <v>12</v>
      </c>
      <c r="F1418" s="3">
        <v>8880</v>
      </c>
      <c r="G1418" t="s">
        <v>27</v>
      </c>
      <c r="H1418" t="s">
        <v>23</v>
      </c>
    </row>
    <row r="1419" spans="1:8" x14ac:dyDescent="0.25">
      <c r="A1419" s="1">
        <v>45421</v>
      </c>
      <c r="B1419" t="s">
        <v>13</v>
      </c>
      <c r="C1419" t="s">
        <v>14</v>
      </c>
      <c r="D1419" t="s">
        <v>15</v>
      </c>
      <c r="E1419">
        <v>1</v>
      </c>
      <c r="F1419" s="3">
        <v>1113</v>
      </c>
      <c r="G1419" t="s">
        <v>27</v>
      </c>
      <c r="H1419" t="s">
        <v>12</v>
      </c>
    </row>
    <row r="1420" spans="1:8" x14ac:dyDescent="0.25">
      <c r="A1420" s="1">
        <v>45869</v>
      </c>
      <c r="B1420" t="s">
        <v>20</v>
      </c>
      <c r="C1420" t="s">
        <v>38</v>
      </c>
      <c r="D1420" t="s">
        <v>22</v>
      </c>
      <c r="E1420">
        <v>19</v>
      </c>
      <c r="F1420" s="3">
        <v>24149</v>
      </c>
      <c r="G1420" t="s">
        <v>16</v>
      </c>
      <c r="H1420" t="s">
        <v>12</v>
      </c>
    </row>
    <row r="1421" spans="1:8" x14ac:dyDescent="0.25">
      <c r="A1421" s="1">
        <v>45878</v>
      </c>
      <c r="B1421" t="s">
        <v>46</v>
      </c>
      <c r="C1421" t="s">
        <v>35</v>
      </c>
      <c r="D1421" t="s">
        <v>36</v>
      </c>
      <c r="E1421">
        <v>3</v>
      </c>
      <c r="F1421" s="3">
        <v>2610</v>
      </c>
      <c r="G1421" t="s">
        <v>11</v>
      </c>
      <c r="H1421" t="s">
        <v>28</v>
      </c>
    </row>
    <row r="1422" spans="1:8" x14ac:dyDescent="0.25">
      <c r="A1422" s="1">
        <v>45907</v>
      </c>
      <c r="B1422" t="s">
        <v>24</v>
      </c>
      <c r="C1422" t="s">
        <v>44</v>
      </c>
      <c r="D1422" t="s">
        <v>45</v>
      </c>
      <c r="E1422">
        <v>3</v>
      </c>
      <c r="F1422" s="3">
        <v>5703</v>
      </c>
      <c r="G1422" t="s">
        <v>39</v>
      </c>
      <c r="H1422" t="s">
        <v>12</v>
      </c>
    </row>
    <row r="1423" spans="1:8" x14ac:dyDescent="0.25">
      <c r="A1423" s="1">
        <v>46020</v>
      </c>
      <c r="B1423" t="s">
        <v>42</v>
      </c>
      <c r="C1423" t="s">
        <v>44</v>
      </c>
      <c r="D1423" t="s">
        <v>45</v>
      </c>
      <c r="E1423">
        <v>7</v>
      </c>
      <c r="F1423" s="3">
        <v>2429</v>
      </c>
      <c r="G1423" t="s">
        <v>16</v>
      </c>
      <c r="H1423" t="s">
        <v>43</v>
      </c>
    </row>
    <row r="1424" spans="1:8" x14ac:dyDescent="0.25">
      <c r="A1424" s="1">
        <v>45832</v>
      </c>
      <c r="B1424" t="s">
        <v>18</v>
      </c>
      <c r="C1424" t="s">
        <v>25</v>
      </c>
      <c r="D1424" t="s">
        <v>26</v>
      </c>
      <c r="E1424">
        <v>18</v>
      </c>
      <c r="F1424" s="3">
        <v>32490</v>
      </c>
      <c r="G1424" t="s">
        <v>39</v>
      </c>
      <c r="H1424" t="s">
        <v>12</v>
      </c>
    </row>
    <row r="1425" spans="1:8" x14ac:dyDescent="0.25">
      <c r="A1425" s="1">
        <v>44949</v>
      </c>
      <c r="B1425" t="s">
        <v>29</v>
      </c>
      <c r="C1425" t="s">
        <v>44</v>
      </c>
      <c r="D1425" t="s">
        <v>45</v>
      </c>
      <c r="E1425">
        <v>19</v>
      </c>
      <c r="F1425" s="3">
        <v>3477</v>
      </c>
      <c r="G1425" t="s">
        <v>39</v>
      </c>
      <c r="H1425" t="s">
        <v>28</v>
      </c>
    </row>
    <row r="1426" spans="1:8" x14ac:dyDescent="0.25">
      <c r="A1426" s="1">
        <v>45361</v>
      </c>
      <c r="B1426" t="s">
        <v>48</v>
      </c>
      <c r="C1426" t="s">
        <v>38</v>
      </c>
      <c r="D1426" t="s">
        <v>22</v>
      </c>
      <c r="E1426">
        <v>4</v>
      </c>
      <c r="F1426" s="3">
        <v>7868</v>
      </c>
      <c r="G1426" t="s">
        <v>31</v>
      </c>
      <c r="H1426" t="s">
        <v>19</v>
      </c>
    </row>
    <row r="1427" spans="1:8" x14ac:dyDescent="0.25">
      <c r="A1427" s="1">
        <v>45532</v>
      </c>
      <c r="B1427" t="s">
        <v>46</v>
      </c>
      <c r="C1427" t="s">
        <v>37</v>
      </c>
      <c r="D1427" t="s">
        <v>15</v>
      </c>
      <c r="E1427">
        <v>8</v>
      </c>
      <c r="F1427" s="3">
        <v>6776</v>
      </c>
      <c r="G1427" t="s">
        <v>16</v>
      </c>
      <c r="H1427" t="s">
        <v>19</v>
      </c>
    </row>
    <row r="1428" spans="1:8" x14ac:dyDescent="0.25">
      <c r="A1428" s="1">
        <v>45098</v>
      </c>
      <c r="B1428" t="s">
        <v>18</v>
      </c>
      <c r="C1428" t="s">
        <v>41</v>
      </c>
      <c r="D1428" t="s">
        <v>26</v>
      </c>
      <c r="E1428">
        <v>12</v>
      </c>
      <c r="F1428" s="3">
        <v>20208</v>
      </c>
      <c r="G1428" t="s">
        <v>11</v>
      </c>
      <c r="H1428" t="s">
        <v>19</v>
      </c>
    </row>
    <row r="1429" spans="1:8" x14ac:dyDescent="0.25">
      <c r="A1429" s="1">
        <v>45572</v>
      </c>
      <c r="B1429" t="s">
        <v>33</v>
      </c>
      <c r="C1429" t="s">
        <v>35</v>
      </c>
      <c r="D1429" t="s">
        <v>36</v>
      </c>
      <c r="E1429">
        <v>11</v>
      </c>
      <c r="F1429" s="3">
        <v>11253</v>
      </c>
      <c r="G1429" t="s">
        <v>27</v>
      </c>
      <c r="H1429" t="s">
        <v>23</v>
      </c>
    </row>
    <row r="1430" spans="1:8" x14ac:dyDescent="0.25">
      <c r="A1430" s="1">
        <v>44973</v>
      </c>
      <c r="B1430" t="s">
        <v>47</v>
      </c>
      <c r="C1430" t="s">
        <v>25</v>
      </c>
      <c r="D1430" t="s">
        <v>26</v>
      </c>
      <c r="E1430">
        <v>8</v>
      </c>
      <c r="F1430" s="3">
        <v>2584</v>
      </c>
      <c r="G1430" t="s">
        <v>39</v>
      </c>
      <c r="H1430" t="s">
        <v>17</v>
      </c>
    </row>
    <row r="1431" spans="1:8" x14ac:dyDescent="0.25">
      <c r="A1431" s="1">
        <v>45898</v>
      </c>
      <c r="B1431" t="s">
        <v>46</v>
      </c>
      <c r="C1431" t="s">
        <v>14</v>
      </c>
      <c r="D1431" t="s">
        <v>15</v>
      </c>
      <c r="E1431">
        <v>18</v>
      </c>
      <c r="F1431" s="3">
        <v>2430</v>
      </c>
      <c r="G1431" t="s">
        <v>16</v>
      </c>
      <c r="H1431" t="s">
        <v>43</v>
      </c>
    </row>
    <row r="1432" spans="1:8" x14ac:dyDescent="0.25">
      <c r="A1432" s="1">
        <v>45763</v>
      </c>
      <c r="B1432" t="s">
        <v>40</v>
      </c>
      <c r="C1432" t="s">
        <v>9</v>
      </c>
      <c r="D1432" t="s">
        <v>10</v>
      </c>
      <c r="E1432">
        <v>4</v>
      </c>
      <c r="F1432" s="3">
        <v>6628</v>
      </c>
      <c r="G1432" t="s">
        <v>11</v>
      </c>
      <c r="H1432" t="s">
        <v>28</v>
      </c>
    </row>
    <row r="1433" spans="1:8" x14ac:dyDescent="0.25">
      <c r="A1433" s="1">
        <v>45938</v>
      </c>
      <c r="B1433" t="s">
        <v>33</v>
      </c>
      <c r="C1433" t="s">
        <v>41</v>
      </c>
      <c r="D1433" t="s">
        <v>26</v>
      </c>
      <c r="E1433">
        <v>10</v>
      </c>
      <c r="F1433" s="3">
        <v>2100</v>
      </c>
      <c r="G1433" t="s">
        <v>16</v>
      </c>
      <c r="H1433" t="s">
        <v>23</v>
      </c>
    </row>
    <row r="1434" spans="1:8" x14ac:dyDescent="0.25">
      <c r="A1434" s="1">
        <v>45356</v>
      </c>
      <c r="B1434" t="s">
        <v>48</v>
      </c>
      <c r="C1434" t="s">
        <v>9</v>
      </c>
      <c r="D1434" t="s">
        <v>10</v>
      </c>
      <c r="E1434">
        <v>19</v>
      </c>
      <c r="F1434" s="3">
        <v>16359</v>
      </c>
      <c r="G1434" t="s">
        <v>11</v>
      </c>
      <c r="H1434" t="s">
        <v>28</v>
      </c>
    </row>
    <row r="1435" spans="1:8" x14ac:dyDescent="0.25">
      <c r="A1435" s="1">
        <v>45307</v>
      </c>
      <c r="B1435" t="s">
        <v>29</v>
      </c>
      <c r="C1435" t="s">
        <v>21</v>
      </c>
      <c r="D1435" t="s">
        <v>22</v>
      </c>
      <c r="E1435">
        <v>12</v>
      </c>
      <c r="F1435" s="3">
        <v>11376</v>
      </c>
      <c r="G1435" t="s">
        <v>31</v>
      </c>
      <c r="H1435" t="s">
        <v>17</v>
      </c>
    </row>
    <row r="1436" spans="1:8" x14ac:dyDescent="0.25">
      <c r="A1436" s="1">
        <v>45491</v>
      </c>
      <c r="B1436" t="s">
        <v>20</v>
      </c>
      <c r="C1436" t="s">
        <v>14</v>
      </c>
      <c r="D1436" t="s">
        <v>15</v>
      </c>
      <c r="E1436">
        <v>16</v>
      </c>
      <c r="F1436" s="3">
        <v>12384</v>
      </c>
      <c r="G1436" t="s">
        <v>31</v>
      </c>
      <c r="H1436" t="s">
        <v>12</v>
      </c>
    </row>
    <row r="1437" spans="1:8" x14ac:dyDescent="0.25">
      <c r="A1437" s="1">
        <v>45389</v>
      </c>
      <c r="B1437" t="s">
        <v>40</v>
      </c>
      <c r="C1437" t="s">
        <v>9</v>
      </c>
      <c r="D1437" t="s">
        <v>10</v>
      </c>
      <c r="E1437">
        <v>20</v>
      </c>
      <c r="F1437" s="3">
        <v>12360</v>
      </c>
      <c r="G1437" t="s">
        <v>16</v>
      </c>
      <c r="H1437" t="s">
        <v>28</v>
      </c>
    </row>
    <row r="1438" spans="1:8" x14ac:dyDescent="0.25">
      <c r="A1438" s="1">
        <v>45034</v>
      </c>
      <c r="B1438" t="s">
        <v>40</v>
      </c>
      <c r="C1438" t="s">
        <v>9</v>
      </c>
      <c r="D1438" t="s">
        <v>10</v>
      </c>
      <c r="E1438">
        <v>6</v>
      </c>
      <c r="F1438" s="3">
        <v>3360</v>
      </c>
      <c r="G1438" t="s">
        <v>16</v>
      </c>
      <c r="H1438" t="s">
        <v>28</v>
      </c>
    </row>
    <row r="1439" spans="1:8" x14ac:dyDescent="0.25">
      <c r="A1439" s="1">
        <v>45615</v>
      </c>
      <c r="B1439" t="s">
        <v>8</v>
      </c>
      <c r="C1439" t="s">
        <v>9</v>
      </c>
      <c r="D1439" t="s">
        <v>10</v>
      </c>
      <c r="E1439">
        <v>2</v>
      </c>
      <c r="F1439" s="3">
        <v>3006</v>
      </c>
      <c r="G1439" t="s">
        <v>27</v>
      </c>
      <c r="H1439" t="s">
        <v>23</v>
      </c>
    </row>
    <row r="1440" spans="1:8" x14ac:dyDescent="0.25">
      <c r="A1440" s="1">
        <v>45535</v>
      </c>
      <c r="B1440" t="s">
        <v>46</v>
      </c>
      <c r="C1440" t="s">
        <v>30</v>
      </c>
      <c r="D1440" t="s">
        <v>15</v>
      </c>
      <c r="E1440">
        <v>19</v>
      </c>
      <c r="F1440" s="3">
        <v>29906</v>
      </c>
      <c r="G1440" t="s">
        <v>16</v>
      </c>
      <c r="H1440" t="s">
        <v>43</v>
      </c>
    </row>
    <row r="1441" spans="1:8" x14ac:dyDescent="0.25">
      <c r="A1441" s="1">
        <v>45477</v>
      </c>
      <c r="B1441" t="s">
        <v>20</v>
      </c>
      <c r="C1441" t="s">
        <v>37</v>
      </c>
      <c r="D1441" t="s">
        <v>15</v>
      </c>
      <c r="E1441">
        <v>14</v>
      </c>
      <c r="F1441" s="3">
        <v>8106</v>
      </c>
      <c r="G1441" t="s">
        <v>31</v>
      </c>
      <c r="H1441" t="s">
        <v>32</v>
      </c>
    </row>
    <row r="1442" spans="1:8" x14ac:dyDescent="0.25">
      <c r="A1442" s="1">
        <v>45978</v>
      </c>
      <c r="B1442" t="s">
        <v>8</v>
      </c>
      <c r="C1442" t="s">
        <v>44</v>
      </c>
      <c r="D1442" t="s">
        <v>45</v>
      </c>
      <c r="E1442">
        <v>12</v>
      </c>
      <c r="F1442" s="3">
        <v>2220</v>
      </c>
      <c r="G1442" t="s">
        <v>39</v>
      </c>
      <c r="H1442" t="s">
        <v>17</v>
      </c>
    </row>
    <row r="1443" spans="1:8" x14ac:dyDescent="0.25">
      <c r="A1443" s="1">
        <v>45622</v>
      </c>
      <c r="B1443" t="s">
        <v>8</v>
      </c>
      <c r="C1443" t="s">
        <v>37</v>
      </c>
      <c r="D1443" t="s">
        <v>15</v>
      </c>
      <c r="E1443">
        <v>17</v>
      </c>
      <c r="F1443" s="3">
        <v>16932</v>
      </c>
      <c r="G1443" t="s">
        <v>31</v>
      </c>
      <c r="H1443" t="s">
        <v>12</v>
      </c>
    </row>
    <row r="1444" spans="1:8" x14ac:dyDescent="0.25">
      <c r="A1444" s="1">
        <v>45628</v>
      </c>
      <c r="B1444" t="s">
        <v>42</v>
      </c>
      <c r="C1444" t="s">
        <v>9</v>
      </c>
      <c r="D1444" t="s">
        <v>10</v>
      </c>
      <c r="E1444">
        <v>15</v>
      </c>
      <c r="F1444" s="3">
        <v>1665</v>
      </c>
      <c r="G1444" t="s">
        <v>39</v>
      </c>
      <c r="H1444" t="s">
        <v>23</v>
      </c>
    </row>
    <row r="1445" spans="1:8" x14ac:dyDescent="0.25">
      <c r="A1445" s="1">
        <v>45382</v>
      </c>
      <c r="B1445" t="s">
        <v>48</v>
      </c>
      <c r="C1445" t="s">
        <v>37</v>
      </c>
      <c r="D1445" t="s">
        <v>15</v>
      </c>
      <c r="E1445">
        <v>17</v>
      </c>
      <c r="F1445" s="3">
        <v>14484</v>
      </c>
      <c r="G1445" t="s">
        <v>39</v>
      </c>
      <c r="H1445" t="s">
        <v>12</v>
      </c>
    </row>
    <row r="1446" spans="1:8" x14ac:dyDescent="0.25">
      <c r="A1446" s="1">
        <v>45205</v>
      </c>
      <c r="B1446" t="s">
        <v>33</v>
      </c>
      <c r="C1446" t="s">
        <v>38</v>
      </c>
      <c r="D1446" t="s">
        <v>22</v>
      </c>
      <c r="E1446">
        <v>7</v>
      </c>
      <c r="F1446" s="3">
        <v>11893</v>
      </c>
      <c r="G1446" t="s">
        <v>31</v>
      </c>
      <c r="H1446" t="s">
        <v>32</v>
      </c>
    </row>
    <row r="1447" spans="1:8" x14ac:dyDescent="0.25">
      <c r="A1447" s="1">
        <v>45211</v>
      </c>
      <c r="B1447" t="s">
        <v>33</v>
      </c>
      <c r="C1447" t="s">
        <v>25</v>
      </c>
      <c r="D1447" t="s">
        <v>26</v>
      </c>
      <c r="E1447">
        <v>13</v>
      </c>
      <c r="F1447" s="3">
        <v>13767</v>
      </c>
      <c r="G1447" t="s">
        <v>11</v>
      </c>
      <c r="H1447" t="s">
        <v>19</v>
      </c>
    </row>
    <row r="1448" spans="1:8" x14ac:dyDescent="0.25">
      <c r="A1448" s="1">
        <v>45784</v>
      </c>
      <c r="B1448" t="s">
        <v>13</v>
      </c>
      <c r="C1448" t="s">
        <v>14</v>
      </c>
      <c r="D1448" t="s">
        <v>15</v>
      </c>
      <c r="E1448">
        <v>5</v>
      </c>
      <c r="F1448" s="3">
        <v>5420</v>
      </c>
      <c r="G1448" t="s">
        <v>39</v>
      </c>
      <c r="H1448" t="s">
        <v>34</v>
      </c>
    </row>
    <row r="1449" spans="1:8" x14ac:dyDescent="0.25">
      <c r="A1449" s="1">
        <v>45467</v>
      </c>
      <c r="B1449" t="s">
        <v>18</v>
      </c>
      <c r="C1449" t="s">
        <v>21</v>
      </c>
      <c r="D1449" t="s">
        <v>22</v>
      </c>
      <c r="E1449">
        <v>4</v>
      </c>
      <c r="F1449" s="3">
        <v>1732</v>
      </c>
      <c r="G1449" t="s">
        <v>27</v>
      </c>
      <c r="H1449" t="s">
        <v>32</v>
      </c>
    </row>
    <row r="1450" spans="1:8" x14ac:dyDescent="0.25">
      <c r="A1450" s="1">
        <v>45505</v>
      </c>
      <c r="B1450" t="s">
        <v>46</v>
      </c>
      <c r="C1450" t="s">
        <v>25</v>
      </c>
      <c r="D1450" t="s">
        <v>26</v>
      </c>
      <c r="E1450">
        <v>17</v>
      </c>
      <c r="F1450" s="3">
        <v>20774</v>
      </c>
      <c r="G1450" t="s">
        <v>11</v>
      </c>
      <c r="H1450" t="s">
        <v>12</v>
      </c>
    </row>
    <row r="1451" spans="1:8" x14ac:dyDescent="0.25">
      <c r="A1451" s="1">
        <v>45437</v>
      </c>
      <c r="B1451" t="s">
        <v>13</v>
      </c>
      <c r="C1451" t="s">
        <v>37</v>
      </c>
      <c r="D1451" t="s">
        <v>15</v>
      </c>
      <c r="E1451">
        <v>14</v>
      </c>
      <c r="F1451" s="3">
        <v>6650</v>
      </c>
      <c r="G1451" t="s">
        <v>31</v>
      </c>
      <c r="H1451" t="s">
        <v>17</v>
      </c>
    </row>
    <row r="1452" spans="1:8" x14ac:dyDescent="0.25">
      <c r="A1452" s="1">
        <v>45455</v>
      </c>
      <c r="B1452" t="s">
        <v>18</v>
      </c>
      <c r="C1452" t="s">
        <v>9</v>
      </c>
      <c r="D1452" t="s">
        <v>10</v>
      </c>
      <c r="E1452">
        <v>14</v>
      </c>
      <c r="F1452" s="3">
        <v>12390</v>
      </c>
      <c r="G1452" t="s">
        <v>31</v>
      </c>
      <c r="H1452" t="s">
        <v>28</v>
      </c>
    </row>
    <row r="1453" spans="1:8" x14ac:dyDescent="0.25">
      <c r="A1453" s="1">
        <v>45383</v>
      </c>
      <c r="B1453" t="s">
        <v>40</v>
      </c>
      <c r="C1453" t="s">
        <v>21</v>
      </c>
      <c r="D1453" t="s">
        <v>22</v>
      </c>
      <c r="E1453">
        <v>4</v>
      </c>
      <c r="F1453" s="3">
        <v>7168</v>
      </c>
      <c r="G1453" t="s">
        <v>39</v>
      </c>
      <c r="H1453" t="s">
        <v>28</v>
      </c>
    </row>
    <row r="1454" spans="1:8" x14ac:dyDescent="0.25">
      <c r="A1454" s="1">
        <v>45331</v>
      </c>
      <c r="B1454" t="s">
        <v>47</v>
      </c>
      <c r="C1454" t="s">
        <v>21</v>
      </c>
      <c r="D1454" t="s">
        <v>22</v>
      </c>
      <c r="E1454">
        <v>18</v>
      </c>
      <c r="F1454" s="3">
        <v>3006</v>
      </c>
      <c r="G1454" t="s">
        <v>39</v>
      </c>
      <c r="H1454" t="s">
        <v>17</v>
      </c>
    </row>
    <row r="1455" spans="1:8" x14ac:dyDescent="0.25">
      <c r="A1455" s="1">
        <v>45312</v>
      </c>
      <c r="B1455" t="s">
        <v>29</v>
      </c>
      <c r="C1455" t="s">
        <v>25</v>
      </c>
      <c r="D1455" t="s">
        <v>26</v>
      </c>
      <c r="E1455">
        <v>11</v>
      </c>
      <c r="F1455" s="3">
        <v>15752</v>
      </c>
      <c r="G1455" t="s">
        <v>16</v>
      </c>
      <c r="H1455" t="s">
        <v>32</v>
      </c>
    </row>
    <row r="1456" spans="1:8" x14ac:dyDescent="0.25">
      <c r="A1456" s="1">
        <v>45493</v>
      </c>
      <c r="B1456" t="s">
        <v>20</v>
      </c>
      <c r="C1456" t="s">
        <v>44</v>
      </c>
      <c r="D1456" t="s">
        <v>45</v>
      </c>
      <c r="E1456">
        <v>12</v>
      </c>
      <c r="F1456" s="3">
        <v>18060</v>
      </c>
      <c r="G1456" t="s">
        <v>11</v>
      </c>
      <c r="H1456" t="s">
        <v>23</v>
      </c>
    </row>
    <row r="1457" spans="1:8" x14ac:dyDescent="0.25">
      <c r="A1457" s="1">
        <v>45138</v>
      </c>
      <c r="B1457" t="s">
        <v>20</v>
      </c>
      <c r="C1457" t="s">
        <v>37</v>
      </c>
      <c r="D1457" t="s">
        <v>15</v>
      </c>
      <c r="E1457">
        <v>2</v>
      </c>
      <c r="F1457" s="3">
        <v>372</v>
      </c>
      <c r="G1457" t="s">
        <v>27</v>
      </c>
      <c r="H1457" t="s">
        <v>12</v>
      </c>
    </row>
    <row r="1458" spans="1:8" x14ac:dyDescent="0.25">
      <c r="A1458" s="1">
        <v>45803</v>
      </c>
      <c r="B1458" t="s">
        <v>13</v>
      </c>
      <c r="C1458" t="s">
        <v>38</v>
      </c>
      <c r="D1458" t="s">
        <v>22</v>
      </c>
      <c r="E1458">
        <v>5</v>
      </c>
      <c r="F1458" s="3">
        <v>5755</v>
      </c>
      <c r="G1458" t="s">
        <v>16</v>
      </c>
      <c r="H1458" t="s">
        <v>28</v>
      </c>
    </row>
    <row r="1459" spans="1:8" x14ac:dyDescent="0.25">
      <c r="A1459" s="1">
        <v>45599</v>
      </c>
      <c r="B1459" t="s">
        <v>8</v>
      </c>
      <c r="C1459" t="s">
        <v>21</v>
      </c>
      <c r="D1459" t="s">
        <v>22</v>
      </c>
      <c r="E1459">
        <v>10</v>
      </c>
      <c r="F1459" s="3">
        <v>3930</v>
      </c>
      <c r="G1459" t="s">
        <v>16</v>
      </c>
      <c r="H1459" t="s">
        <v>43</v>
      </c>
    </row>
    <row r="1460" spans="1:8" x14ac:dyDescent="0.25">
      <c r="A1460" s="1">
        <v>45260</v>
      </c>
      <c r="B1460" t="s">
        <v>8</v>
      </c>
      <c r="C1460" t="s">
        <v>37</v>
      </c>
      <c r="D1460" t="s">
        <v>15</v>
      </c>
      <c r="E1460">
        <v>7</v>
      </c>
      <c r="F1460" s="3">
        <v>3668</v>
      </c>
      <c r="G1460" t="s">
        <v>16</v>
      </c>
      <c r="H1460" t="s">
        <v>19</v>
      </c>
    </row>
    <row r="1461" spans="1:8" x14ac:dyDescent="0.25">
      <c r="A1461" s="1">
        <v>45203</v>
      </c>
      <c r="B1461" t="s">
        <v>33</v>
      </c>
      <c r="C1461" t="s">
        <v>9</v>
      </c>
      <c r="D1461" t="s">
        <v>10</v>
      </c>
      <c r="E1461">
        <v>10</v>
      </c>
      <c r="F1461" s="3">
        <v>11100</v>
      </c>
      <c r="G1461" t="s">
        <v>27</v>
      </c>
      <c r="H1461" t="s">
        <v>43</v>
      </c>
    </row>
    <row r="1462" spans="1:8" x14ac:dyDescent="0.25">
      <c r="A1462" s="1">
        <v>45841</v>
      </c>
      <c r="B1462" t="s">
        <v>20</v>
      </c>
      <c r="C1462" t="s">
        <v>9</v>
      </c>
      <c r="D1462" t="s">
        <v>10</v>
      </c>
      <c r="E1462">
        <v>9</v>
      </c>
      <c r="F1462" s="3">
        <v>16362</v>
      </c>
      <c r="G1462" t="s">
        <v>31</v>
      </c>
      <c r="H1462" t="s">
        <v>34</v>
      </c>
    </row>
    <row r="1463" spans="1:8" x14ac:dyDescent="0.25">
      <c r="A1463" s="1">
        <v>45919</v>
      </c>
      <c r="B1463" t="s">
        <v>24</v>
      </c>
      <c r="C1463" t="s">
        <v>9</v>
      </c>
      <c r="D1463" t="s">
        <v>10</v>
      </c>
      <c r="E1463">
        <v>1</v>
      </c>
      <c r="F1463" s="3">
        <v>988</v>
      </c>
      <c r="G1463" t="s">
        <v>31</v>
      </c>
      <c r="H1463" t="s">
        <v>34</v>
      </c>
    </row>
    <row r="1464" spans="1:8" x14ac:dyDescent="0.25">
      <c r="A1464" s="1">
        <v>45398</v>
      </c>
      <c r="B1464" t="s">
        <v>40</v>
      </c>
      <c r="C1464" t="s">
        <v>37</v>
      </c>
      <c r="D1464" t="s">
        <v>15</v>
      </c>
      <c r="E1464">
        <v>16</v>
      </c>
      <c r="F1464" s="3">
        <v>6368</v>
      </c>
      <c r="G1464" t="s">
        <v>27</v>
      </c>
      <c r="H1464" t="s">
        <v>43</v>
      </c>
    </row>
    <row r="1465" spans="1:8" x14ac:dyDescent="0.25">
      <c r="A1465" s="1">
        <v>46018</v>
      </c>
      <c r="B1465" t="s">
        <v>42</v>
      </c>
      <c r="C1465" t="s">
        <v>25</v>
      </c>
      <c r="D1465" t="s">
        <v>26</v>
      </c>
      <c r="E1465">
        <v>20</v>
      </c>
      <c r="F1465" s="3">
        <v>27740</v>
      </c>
      <c r="G1465" t="s">
        <v>39</v>
      </c>
      <c r="H1465" t="s">
        <v>19</v>
      </c>
    </row>
    <row r="1466" spans="1:8" x14ac:dyDescent="0.25">
      <c r="A1466" s="1">
        <v>45375</v>
      </c>
      <c r="B1466" t="s">
        <v>48</v>
      </c>
      <c r="C1466" t="s">
        <v>14</v>
      </c>
      <c r="D1466" t="s">
        <v>15</v>
      </c>
      <c r="E1466">
        <v>8</v>
      </c>
      <c r="F1466" s="3">
        <v>648</v>
      </c>
      <c r="G1466" t="s">
        <v>16</v>
      </c>
      <c r="H1466" t="s">
        <v>34</v>
      </c>
    </row>
    <row r="1467" spans="1:8" x14ac:dyDescent="0.25">
      <c r="A1467" s="1">
        <v>45383</v>
      </c>
      <c r="B1467" t="s">
        <v>40</v>
      </c>
      <c r="C1467" t="s">
        <v>38</v>
      </c>
      <c r="D1467" t="s">
        <v>22</v>
      </c>
      <c r="E1467">
        <v>3</v>
      </c>
      <c r="F1467" s="3">
        <v>2838</v>
      </c>
      <c r="G1467" t="s">
        <v>27</v>
      </c>
      <c r="H1467" t="s">
        <v>34</v>
      </c>
    </row>
    <row r="1468" spans="1:8" x14ac:dyDescent="0.25">
      <c r="A1468" s="1">
        <v>45934</v>
      </c>
      <c r="B1468" t="s">
        <v>33</v>
      </c>
      <c r="C1468" t="s">
        <v>14</v>
      </c>
      <c r="D1468" t="s">
        <v>15</v>
      </c>
      <c r="E1468">
        <v>7</v>
      </c>
      <c r="F1468" s="3">
        <v>3556</v>
      </c>
      <c r="G1468" t="s">
        <v>27</v>
      </c>
      <c r="H1468" t="s">
        <v>12</v>
      </c>
    </row>
    <row r="1469" spans="1:8" x14ac:dyDescent="0.25">
      <c r="A1469" s="1">
        <v>45936</v>
      </c>
      <c r="B1469" t="s">
        <v>33</v>
      </c>
      <c r="C1469" t="s">
        <v>21</v>
      </c>
      <c r="D1469" t="s">
        <v>22</v>
      </c>
      <c r="E1469">
        <v>3</v>
      </c>
      <c r="F1469" s="3">
        <v>1104</v>
      </c>
      <c r="G1469" t="s">
        <v>39</v>
      </c>
      <c r="H1469" t="s">
        <v>34</v>
      </c>
    </row>
    <row r="1470" spans="1:8" x14ac:dyDescent="0.25">
      <c r="A1470" s="1">
        <v>44991</v>
      </c>
      <c r="B1470" t="s">
        <v>48</v>
      </c>
      <c r="C1470" t="s">
        <v>21</v>
      </c>
      <c r="D1470" t="s">
        <v>22</v>
      </c>
      <c r="E1470">
        <v>19</v>
      </c>
      <c r="F1470" s="3">
        <v>22990</v>
      </c>
      <c r="G1470" t="s">
        <v>11</v>
      </c>
      <c r="H1470" t="s">
        <v>19</v>
      </c>
    </row>
    <row r="1471" spans="1:8" x14ac:dyDescent="0.25">
      <c r="A1471" s="1">
        <v>45097</v>
      </c>
      <c r="B1471" t="s">
        <v>18</v>
      </c>
      <c r="C1471" t="s">
        <v>9</v>
      </c>
      <c r="D1471" t="s">
        <v>10</v>
      </c>
      <c r="E1471">
        <v>14</v>
      </c>
      <c r="F1471" s="3">
        <v>7112</v>
      </c>
      <c r="G1471" t="s">
        <v>39</v>
      </c>
      <c r="H1471" t="s">
        <v>34</v>
      </c>
    </row>
    <row r="1472" spans="1:8" x14ac:dyDescent="0.25">
      <c r="A1472" s="1">
        <v>45640</v>
      </c>
      <c r="B1472" t="s">
        <v>42</v>
      </c>
      <c r="C1472" t="s">
        <v>25</v>
      </c>
      <c r="D1472" t="s">
        <v>26</v>
      </c>
      <c r="E1472">
        <v>7</v>
      </c>
      <c r="F1472" s="3">
        <v>13538</v>
      </c>
      <c r="G1472" t="s">
        <v>16</v>
      </c>
      <c r="H1472" t="s">
        <v>19</v>
      </c>
    </row>
    <row r="1473" spans="1:8" x14ac:dyDescent="0.25">
      <c r="A1473" s="1">
        <v>44990</v>
      </c>
      <c r="B1473" t="s">
        <v>48</v>
      </c>
      <c r="C1473" t="s">
        <v>37</v>
      </c>
      <c r="D1473" t="s">
        <v>15</v>
      </c>
      <c r="E1473">
        <v>19</v>
      </c>
      <c r="F1473" s="3">
        <v>12369</v>
      </c>
      <c r="G1473" t="s">
        <v>27</v>
      </c>
      <c r="H1473" t="s">
        <v>32</v>
      </c>
    </row>
    <row r="1474" spans="1:8" x14ac:dyDescent="0.25">
      <c r="A1474" s="1">
        <v>45465</v>
      </c>
      <c r="B1474" t="s">
        <v>18</v>
      </c>
      <c r="C1474" t="s">
        <v>30</v>
      </c>
      <c r="D1474" t="s">
        <v>15</v>
      </c>
      <c r="E1474">
        <v>5</v>
      </c>
      <c r="F1474" s="3">
        <v>4085</v>
      </c>
      <c r="G1474" t="s">
        <v>39</v>
      </c>
      <c r="H1474" t="s">
        <v>19</v>
      </c>
    </row>
    <row r="1475" spans="1:8" x14ac:dyDescent="0.25">
      <c r="A1475" s="1">
        <v>45693</v>
      </c>
      <c r="B1475" t="s">
        <v>47</v>
      </c>
      <c r="C1475" t="s">
        <v>38</v>
      </c>
      <c r="D1475" t="s">
        <v>22</v>
      </c>
      <c r="E1475">
        <v>15</v>
      </c>
      <c r="F1475" s="3">
        <v>17985</v>
      </c>
      <c r="G1475" t="s">
        <v>39</v>
      </c>
      <c r="H1475" t="s">
        <v>19</v>
      </c>
    </row>
    <row r="1476" spans="1:8" x14ac:dyDescent="0.25">
      <c r="A1476" s="1">
        <v>45340</v>
      </c>
      <c r="B1476" t="s">
        <v>47</v>
      </c>
      <c r="C1476" t="s">
        <v>14</v>
      </c>
      <c r="D1476" t="s">
        <v>15</v>
      </c>
      <c r="E1476">
        <v>12</v>
      </c>
      <c r="F1476" s="3">
        <v>3324</v>
      </c>
      <c r="G1476" t="s">
        <v>39</v>
      </c>
      <c r="H1476" t="s">
        <v>17</v>
      </c>
    </row>
    <row r="1477" spans="1:8" x14ac:dyDescent="0.25">
      <c r="A1477" s="1">
        <v>45131</v>
      </c>
      <c r="B1477" t="s">
        <v>20</v>
      </c>
      <c r="C1477" t="s">
        <v>21</v>
      </c>
      <c r="D1477" t="s">
        <v>22</v>
      </c>
      <c r="E1477">
        <v>12</v>
      </c>
      <c r="F1477" s="3">
        <v>7296</v>
      </c>
      <c r="G1477" t="s">
        <v>27</v>
      </c>
      <c r="H1477" t="s">
        <v>43</v>
      </c>
    </row>
    <row r="1478" spans="1:8" x14ac:dyDescent="0.25">
      <c r="A1478" s="1">
        <v>45889</v>
      </c>
      <c r="B1478" t="s">
        <v>46</v>
      </c>
      <c r="C1478" t="s">
        <v>25</v>
      </c>
      <c r="D1478" t="s">
        <v>26</v>
      </c>
      <c r="E1478">
        <v>5</v>
      </c>
      <c r="F1478" s="3">
        <v>7780</v>
      </c>
      <c r="G1478" t="s">
        <v>11</v>
      </c>
      <c r="H1478" t="s">
        <v>19</v>
      </c>
    </row>
    <row r="1479" spans="1:8" x14ac:dyDescent="0.25">
      <c r="A1479" s="1">
        <v>45406</v>
      </c>
      <c r="B1479" t="s">
        <v>40</v>
      </c>
      <c r="C1479" t="s">
        <v>41</v>
      </c>
      <c r="D1479" t="s">
        <v>26</v>
      </c>
      <c r="E1479">
        <v>20</v>
      </c>
      <c r="F1479" s="3">
        <v>9960</v>
      </c>
      <c r="G1479" t="s">
        <v>16</v>
      </c>
      <c r="H1479" t="s">
        <v>12</v>
      </c>
    </row>
    <row r="1480" spans="1:8" x14ac:dyDescent="0.25">
      <c r="A1480" s="1">
        <v>45694</v>
      </c>
      <c r="B1480" t="s">
        <v>47</v>
      </c>
      <c r="C1480" t="s">
        <v>41</v>
      </c>
      <c r="D1480" t="s">
        <v>26</v>
      </c>
      <c r="E1480">
        <v>9</v>
      </c>
      <c r="F1480" s="3">
        <v>2097</v>
      </c>
      <c r="G1480" t="s">
        <v>11</v>
      </c>
      <c r="H1480" t="s">
        <v>19</v>
      </c>
    </row>
    <row r="1481" spans="1:8" x14ac:dyDescent="0.25">
      <c r="A1481" s="1">
        <v>45015</v>
      </c>
      <c r="B1481" t="s">
        <v>48</v>
      </c>
      <c r="C1481" t="s">
        <v>30</v>
      </c>
      <c r="D1481" t="s">
        <v>15</v>
      </c>
      <c r="E1481">
        <v>19</v>
      </c>
      <c r="F1481" s="3">
        <v>8683</v>
      </c>
      <c r="G1481" t="s">
        <v>31</v>
      </c>
      <c r="H1481" t="s">
        <v>12</v>
      </c>
    </row>
    <row r="1482" spans="1:8" x14ac:dyDescent="0.25">
      <c r="A1482" s="1">
        <v>45039</v>
      </c>
      <c r="B1482" t="s">
        <v>40</v>
      </c>
      <c r="C1482" t="s">
        <v>38</v>
      </c>
      <c r="D1482" t="s">
        <v>22</v>
      </c>
      <c r="E1482">
        <v>4</v>
      </c>
      <c r="F1482" s="3">
        <v>1336</v>
      </c>
      <c r="G1482" t="s">
        <v>16</v>
      </c>
      <c r="H1482" t="s">
        <v>28</v>
      </c>
    </row>
    <row r="1483" spans="1:8" x14ac:dyDescent="0.25">
      <c r="A1483" s="1">
        <v>45641</v>
      </c>
      <c r="B1483" t="s">
        <v>42</v>
      </c>
      <c r="C1483" t="s">
        <v>37</v>
      </c>
      <c r="D1483" t="s">
        <v>15</v>
      </c>
      <c r="E1483">
        <v>14</v>
      </c>
      <c r="F1483" s="3">
        <v>13972</v>
      </c>
      <c r="G1483" t="s">
        <v>11</v>
      </c>
      <c r="H1483" t="s">
        <v>19</v>
      </c>
    </row>
    <row r="1484" spans="1:8" x14ac:dyDescent="0.25">
      <c r="A1484" s="1">
        <v>45517</v>
      </c>
      <c r="B1484" t="s">
        <v>46</v>
      </c>
      <c r="C1484" t="s">
        <v>25</v>
      </c>
      <c r="D1484" t="s">
        <v>26</v>
      </c>
      <c r="E1484">
        <v>1</v>
      </c>
      <c r="F1484" s="3">
        <v>424</v>
      </c>
      <c r="G1484" t="s">
        <v>16</v>
      </c>
      <c r="H1484" t="s">
        <v>17</v>
      </c>
    </row>
    <row r="1485" spans="1:8" x14ac:dyDescent="0.25">
      <c r="A1485" s="1">
        <v>45012</v>
      </c>
      <c r="B1485" t="s">
        <v>48</v>
      </c>
      <c r="C1485" t="s">
        <v>9</v>
      </c>
      <c r="D1485" t="s">
        <v>10</v>
      </c>
      <c r="E1485">
        <v>20</v>
      </c>
      <c r="F1485" s="3">
        <v>31980</v>
      </c>
      <c r="G1485" t="s">
        <v>16</v>
      </c>
      <c r="H1485" t="s">
        <v>17</v>
      </c>
    </row>
    <row r="1486" spans="1:8" x14ac:dyDescent="0.25">
      <c r="A1486" s="1">
        <v>45251</v>
      </c>
      <c r="B1486" t="s">
        <v>8</v>
      </c>
      <c r="C1486" t="s">
        <v>14</v>
      </c>
      <c r="D1486" t="s">
        <v>15</v>
      </c>
      <c r="E1486">
        <v>15</v>
      </c>
      <c r="F1486" s="3">
        <v>20385</v>
      </c>
      <c r="G1486" t="s">
        <v>27</v>
      </c>
      <c r="H1486" t="s">
        <v>12</v>
      </c>
    </row>
    <row r="1487" spans="1:8" x14ac:dyDescent="0.25">
      <c r="A1487" s="1">
        <v>45989</v>
      </c>
      <c r="B1487" t="s">
        <v>8</v>
      </c>
      <c r="C1487" t="s">
        <v>35</v>
      </c>
      <c r="D1487" t="s">
        <v>36</v>
      </c>
      <c r="E1487">
        <v>15</v>
      </c>
      <c r="F1487" s="3">
        <v>17445</v>
      </c>
      <c r="G1487" t="s">
        <v>11</v>
      </c>
      <c r="H1487" t="s">
        <v>17</v>
      </c>
    </row>
    <row r="1488" spans="1:8" x14ac:dyDescent="0.25">
      <c r="A1488" s="1">
        <v>45793</v>
      </c>
      <c r="B1488" t="s">
        <v>13</v>
      </c>
      <c r="C1488" t="s">
        <v>25</v>
      </c>
      <c r="D1488" t="s">
        <v>26</v>
      </c>
      <c r="E1488">
        <v>4</v>
      </c>
      <c r="F1488" s="3">
        <v>2944</v>
      </c>
      <c r="G1488" t="s">
        <v>11</v>
      </c>
      <c r="H1488" t="s">
        <v>43</v>
      </c>
    </row>
    <row r="1489" spans="1:8" x14ac:dyDescent="0.25">
      <c r="A1489" s="1">
        <v>45842</v>
      </c>
      <c r="B1489" t="s">
        <v>20</v>
      </c>
      <c r="C1489" t="s">
        <v>21</v>
      </c>
      <c r="D1489" t="s">
        <v>22</v>
      </c>
      <c r="E1489">
        <v>7</v>
      </c>
      <c r="F1489" s="3">
        <v>11928</v>
      </c>
      <c r="G1489" t="s">
        <v>39</v>
      </c>
      <c r="H1489" t="s">
        <v>23</v>
      </c>
    </row>
    <row r="1490" spans="1:8" x14ac:dyDescent="0.25">
      <c r="A1490" s="1">
        <v>45832</v>
      </c>
      <c r="B1490" t="s">
        <v>18</v>
      </c>
      <c r="C1490" t="s">
        <v>25</v>
      </c>
      <c r="D1490" t="s">
        <v>26</v>
      </c>
      <c r="E1490">
        <v>18</v>
      </c>
      <c r="F1490" s="3">
        <v>23832</v>
      </c>
      <c r="G1490" t="s">
        <v>31</v>
      </c>
      <c r="H1490" t="s">
        <v>28</v>
      </c>
    </row>
    <row r="1491" spans="1:8" x14ac:dyDescent="0.25">
      <c r="A1491" s="1">
        <v>45912</v>
      </c>
      <c r="B1491" t="s">
        <v>24</v>
      </c>
      <c r="C1491" t="s">
        <v>44</v>
      </c>
      <c r="D1491" t="s">
        <v>45</v>
      </c>
      <c r="E1491">
        <v>3</v>
      </c>
      <c r="F1491" s="3">
        <v>4044</v>
      </c>
      <c r="G1491" t="s">
        <v>31</v>
      </c>
      <c r="H1491" t="s">
        <v>17</v>
      </c>
    </row>
    <row r="1492" spans="1:8" x14ac:dyDescent="0.25">
      <c r="A1492" s="1">
        <v>45187</v>
      </c>
      <c r="B1492" t="s">
        <v>24</v>
      </c>
      <c r="C1492" t="s">
        <v>38</v>
      </c>
      <c r="D1492" t="s">
        <v>22</v>
      </c>
      <c r="E1492">
        <v>10</v>
      </c>
      <c r="F1492" s="3">
        <v>18710</v>
      </c>
      <c r="G1492" t="s">
        <v>16</v>
      </c>
      <c r="H1492" t="s">
        <v>34</v>
      </c>
    </row>
    <row r="1493" spans="1:8" x14ac:dyDescent="0.25">
      <c r="A1493" s="1">
        <v>44957</v>
      </c>
      <c r="B1493" t="s">
        <v>29</v>
      </c>
      <c r="C1493" t="s">
        <v>44</v>
      </c>
      <c r="D1493" t="s">
        <v>45</v>
      </c>
      <c r="E1493">
        <v>6</v>
      </c>
      <c r="F1493" s="3">
        <v>7098</v>
      </c>
      <c r="G1493" t="s">
        <v>16</v>
      </c>
      <c r="H1493" t="s">
        <v>28</v>
      </c>
    </row>
    <row r="1494" spans="1:8" x14ac:dyDescent="0.25">
      <c r="A1494" s="1">
        <v>45320</v>
      </c>
      <c r="B1494" t="s">
        <v>29</v>
      </c>
      <c r="C1494" t="s">
        <v>44</v>
      </c>
      <c r="D1494" t="s">
        <v>45</v>
      </c>
      <c r="E1494">
        <v>17</v>
      </c>
      <c r="F1494" s="3">
        <v>27948</v>
      </c>
      <c r="G1494" t="s">
        <v>11</v>
      </c>
      <c r="H1494" t="s">
        <v>23</v>
      </c>
    </row>
    <row r="1495" spans="1:8" x14ac:dyDescent="0.25">
      <c r="A1495" s="1">
        <v>45805</v>
      </c>
      <c r="B1495" t="s">
        <v>13</v>
      </c>
      <c r="C1495" t="s">
        <v>25</v>
      </c>
      <c r="D1495" t="s">
        <v>26</v>
      </c>
      <c r="E1495">
        <v>5</v>
      </c>
      <c r="F1495" s="3">
        <v>2475</v>
      </c>
      <c r="G1495" t="s">
        <v>16</v>
      </c>
      <c r="H1495" t="s">
        <v>43</v>
      </c>
    </row>
    <row r="1496" spans="1:8" x14ac:dyDescent="0.25">
      <c r="A1496" s="1">
        <v>45102</v>
      </c>
      <c r="B1496" t="s">
        <v>18</v>
      </c>
      <c r="C1496" t="s">
        <v>38</v>
      </c>
      <c r="D1496" t="s">
        <v>22</v>
      </c>
      <c r="E1496">
        <v>4</v>
      </c>
      <c r="F1496" s="3">
        <v>3480</v>
      </c>
      <c r="G1496" t="s">
        <v>39</v>
      </c>
      <c r="H1496" t="s">
        <v>28</v>
      </c>
    </row>
    <row r="1497" spans="1:8" x14ac:dyDescent="0.25">
      <c r="A1497" s="1">
        <v>45093</v>
      </c>
      <c r="B1497" t="s">
        <v>18</v>
      </c>
      <c r="C1497" t="s">
        <v>14</v>
      </c>
      <c r="D1497" t="s">
        <v>15</v>
      </c>
      <c r="E1497">
        <v>9</v>
      </c>
      <c r="F1497" s="3">
        <v>15552</v>
      </c>
      <c r="G1497" t="s">
        <v>39</v>
      </c>
      <c r="H1497" t="s">
        <v>12</v>
      </c>
    </row>
    <row r="1498" spans="1:8" x14ac:dyDescent="0.25">
      <c r="A1498" s="1">
        <v>45117</v>
      </c>
      <c r="B1498" t="s">
        <v>20</v>
      </c>
      <c r="C1498" t="s">
        <v>21</v>
      </c>
      <c r="D1498" t="s">
        <v>22</v>
      </c>
      <c r="E1498">
        <v>12</v>
      </c>
      <c r="F1498" s="3">
        <v>8700</v>
      </c>
      <c r="G1498" t="s">
        <v>16</v>
      </c>
      <c r="H1498" t="s">
        <v>12</v>
      </c>
    </row>
    <row r="1499" spans="1:8" x14ac:dyDescent="0.25">
      <c r="A1499" s="1">
        <v>45359</v>
      </c>
      <c r="B1499" t="s">
        <v>48</v>
      </c>
      <c r="C1499" t="s">
        <v>30</v>
      </c>
      <c r="D1499" t="s">
        <v>15</v>
      </c>
      <c r="E1499">
        <v>18</v>
      </c>
      <c r="F1499" s="3">
        <v>4212</v>
      </c>
      <c r="G1499" t="s">
        <v>27</v>
      </c>
      <c r="H1499" t="s">
        <v>17</v>
      </c>
    </row>
    <row r="1500" spans="1:8" x14ac:dyDescent="0.25">
      <c r="A1500" s="1">
        <v>45734</v>
      </c>
      <c r="B1500" t="s">
        <v>48</v>
      </c>
      <c r="C1500" t="s">
        <v>21</v>
      </c>
      <c r="D1500" t="s">
        <v>22</v>
      </c>
      <c r="E1500">
        <v>20</v>
      </c>
      <c r="F1500" s="3">
        <v>7420</v>
      </c>
      <c r="G1500" t="s">
        <v>31</v>
      </c>
      <c r="H1500" t="s">
        <v>32</v>
      </c>
    </row>
    <row r="1501" spans="1:8" x14ac:dyDescent="0.25">
      <c r="A1501" s="1">
        <v>45477</v>
      </c>
      <c r="B1501" t="s">
        <v>20</v>
      </c>
      <c r="C1501" t="s">
        <v>38</v>
      </c>
      <c r="D1501" t="s">
        <v>22</v>
      </c>
      <c r="E1501">
        <v>16</v>
      </c>
      <c r="F1501" s="3">
        <v>16320</v>
      </c>
      <c r="G1501" t="s">
        <v>39</v>
      </c>
      <c r="H1501" t="s">
        <v>43</v>
      </c>
    </row>
  </sheetData>
  <phoneticPr fontId="21" type="noConversion"/>
  <pageMargins left="0.7" right="0.7" top="0.75" bottom="0.75" header="0.3" footer="0.3"/>
  <ignoredErrors>
    <ignoredError sqref="T3"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1C29-CFEA-4734-B615-C2CB9149635F}">
  <dimension ref="A1:L6"/>
  <sheetViews>
    <sheetView showGridLines="0" showRowColHeaders="0" tabSelected="1" zoomScale="85" zoomScaleNormal="85" workbookViewId="0">
      <selection activeCell="M2" sqref="M2"/>
    </sheetView>
  </sheetViews>
  <sheetFormatPr defaultColWidth="17.42578125" defaultRowHeight="15" x14ac:dyDescent="0.25"/>
  <cols>
    <col min="1" max="7" width="17.42578125" style="2"/>
    <col min="8" max="8" width="20" style="2" customWidth="1"/>
    <col min="9" max="16384" width="17.42578125" style="2"/>
  </cols>
  <sheetData>
    <row r="1" spans="1:12" ht="36" x14ac:dyDescent="0.55000000000000004">
      <c r="A1" s="8"/>
      <c r="B1" s="8"/>
      <c r="C1" s="16" t="s">
        <v>79</v>
      </c>
      <c r="D1" s="16"/>
      <c r="E1" s="16"/>
      <c r="F1" s="16"/>
      <c r="G1" s="16"/>
      <c r="H1" s="16"/>
      <c r="I1" s="16"/>
      <c r="J1" s="16"/>
      <c r="K1" s="16"/>
      <c r="L1" s="16"/>
    </row>
    <row r="2" spans="1:12" ht="21" x14ac:dyDescent="0.35">
      <c r="A2" s="7"/>
      <c r="B2" s="7"/>
      <c r="C2" s="13" t="s">
        <v>80</v>
      </c>
      <c r="D2" s="14"/>
      <c r="E2" s="14"/>
      <c r="F2" s="14"/>
      <c r="G2" s="14"/>
      <c r="H2" s="14"/>
      <c r="I2" s="14"/>
      <c r="J2" s="14"/>
      <c r="K2" s="14"/>
      <c r="L2" s="15"/>
    </row>
    <row r="3" spans="1:12" ht="21" x14ac:dyDescent="0.35">
      <c r="C3" s="13" t="s">
        <v>49</v>
      </c>
      <c r="D3" s="14"/>
      <c r="E3" s="17" t="s">
        <v>50</v>
      </c>
      <c r="F3" s="18"/>
      <c r="G3" s="13" t="s">
        <v>51</v>
      </c>
      <c r="H3" s="15"/>
      <c r="I3" s="13" t="s">
        <v>52</v>
      </c>
      <c r="J3" s="14"/>
      <c r="K3" s="13" t="s">
        <v>81</v>
      </c>
      <c r="L3" s="15"/>
    </row>
    <row r="4" spans="1:12" ht="15" customHeight="1" x14ac:dyDescent="0.25">
      <c r="C4" s="9">
        <f>SUM(in!F:F)</f>
        <v>16241335</v>
      </c>
      <c r="D4" s="10"/>
      <c r="E4" s="19">
        <f>SUM(in!E:E)</f>
        <v>15898</v>
      </c>
      <c r="F4" s="20"/>
      <c r="G4" s="9">
        <f>AVERAGE(in!F:F)</f>
        <v>10827.556666666667</v>
      </c>
      <c r="H4" s="23"/>
      <c r="I4" s="25">
        <f>COUNTA(in!A:A)-1</f>
        <v>1500</v>
      </c>
      <c r="J4" s="26"/>
      <c r="K4" s="19" t="str">
        <f>INDEX('Top Product 25'!A4:A13, MATCH(MAX('Top Product 25'!B4:B13),'Top Product 25'!B4:B13,0))</f>
        <v>Camera</v>
      </c>
      <c r="L4" s="20"/>
    </row>
    <row r="5" spans="1:12" ht="15" customHeight="1" x14ac:dyDescent="0.25">
      <c r="C5" s="11"/>
      <c r="D5" s="12"/>
      <c r="E5" s="21"/>
      <c r="F5" s="22"/>
      <c r="G5" s="11"/>
      <c r="H5" s="24"/>
      <c r="I5" s="21"/>
      <c r="J5" s="27"/>
      <c r="K5" s="21"/>
      <c r="L5" s="22"/>
    </row>
    <row r="6" spans="1:12" ht="18.75" x14ac:dyDescent="0.3">
      <c r="A6" s="7"/>
      <c r="B6" s="7"/>
      <c r="C6" s="7"/>
      <c r="D6" s="7"/>
      <c r="E6" s="7"/>
      <c r="F6" s="7"/>
      <c r="G6" s="7"/>
      <c r="H6" s="7"/>
    </row>
  </sheetData>
  <mergeCells count="12">
    <mergeCell ref="C4:D5"/>
    <mergeCell ref="C3:D3"/>
    <mergeCell ref="G3:H3"/>
    <mergeCell ref="I3:J3"/>
    <mergeCell ref="C1:L1"/>
    <mergeCell ref="C2:L2"/>
    <mergeCell ref="E3:F3"/>
    <mergeCell ref="E4:F5"/>
    <mergeCell ref="G4:H5"/>
    <mergeCell ref="I4:J5"/>
    <mergeCell ref="K3:L3"/>
    <mergeCell ref="K4:L5"/>
  </mergeCells>
  <conditionalFormatting sqref="C4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Months 2025</vt:lpstr>
      <vt:lpstr>Product 2025</vt:lpstr>
      <vt:lpstr>Region 2025</vt:lpstr>
      <vt:lpstr>Sales Performance 2025</vt:lpstr>
      <vt:lpstr>Top Product 25</vt:lpstr>
      <vt:lpstr>in</vt:lpstr>
      <vt:lpstr>Dashboard</vt:lpstr>
      <vt:lpstr>Product_Name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Errynie Cyril</dc:creator>
  <cp:lastModifiedBy>User</cp:lastModifiedBy>
  <dcterms:created xsi:type="dcterms:W3CDTF">2026-02-18T10:52:48Z</dcterms:created>
  <dcterms:modified xsi:type="dcterms:W3CDTF">2026-03-03T14:10:33Z</dcterms:modified>
</cp:coreProperties>
</file>