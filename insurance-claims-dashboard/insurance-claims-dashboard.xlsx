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CODING\"/>
    </mc:Choice>
  </mc:AlternateContent>
  <xr:revisionPtr revIDLastSave="0" documentId="13_ncr:1_{F785C2D0-09E8-47C9-94CA-F806FDA67E34}" xr6:coauthVersionLast="47" xr6:coauthVersionMax="47" xr10:uidLastSave="{00000000-0000-0000-0000-000000000000}"/>
  <bookViews>
    <workbookView xWindow="-120" yWindow="-120" windowWidth="20730" windowHeight="11760" activeTab="1" xr2:uid="{CD9FE0C4-5062-4B1C-A148-344F11D5DDCC}"/>
  </bookViews>
  <sheets>
    <sheet name="in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M5" i="2"/>
  <c r="F5" i="2"/>
  <c r="D5" i="2"/>
  <c r="B5" i="2"/>
  <c r="X11" i="2"/>
  <c r="X10" i="2"/>
  <c r="X9" i="2"/>
  <c r="X8" i="2"/>
  <c r="X26" i="2"/>
  <c r="X25" i="2"/>
  <c r="X24" i="2"/>
  <c r="X23" i="2"/>
  <c r="X22" i="2"/>
  <c r="X21" i="2"/>
  <c r="X20" i="2"/>
  <c r="X19" i="2"/>
  <c r="X18" i="2"/>
  <c r="X17" i="2"/>
  <c r="X16" i="2"/>
  <c r="X15" i="2"/>
  <c r="W26" i="2"/>
  <c r="W25" i="2"/>
  <c r="W24" i="2"/>
  <c r="W23" i="2"/>
  <c r="W22" i="2"/>
  <c r="W21" i="2"/>
  <c r="W18" i="2"/>
  <c r="W17" i="2"/>
  <c r="W20" i="2"/>
  <c r="W19" i="2"/>
  <c r="W16" i="2"/>
  <c r="W15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AC11" i="2"/>
  <c r="AC10" i="2"/>
  <c r="AC9" i="2"/>
  <c r="AC8" i="2"/>
  <c r="AB11" i="2"/>
  <c r="AB10" i="2"/>
  <c r="AB9" i="2"/>
  <c r="AB8" i="2"/>
  <c r="AC17" i="2"/>
  <c r="AC16" i="2"/>
  <c r="AC15" i="2"/>
  <c r="AC14" i="2"/>
  <c r="AB17" i="2"/>
  <c r="AB16" i="2"/>
  <c r="AB15" i="2"/>
  <c r="AB14" i="2"/>
</calcChain>
</file>

<file path=xl/sharedStrings.xml><?xml version="1.0" encoding="utf-8"?>
<sst xmlns="http://schemas.openxmlformats.org/spreadsheetml/2006/main" count="992" uniqueCount="354">
  <si>
    <t>Claim ID</t>
  </si>
  <si>
    <t>Date Submitted</t>
  </si>
  <si>
    <t>Region</t>
  </si>
  <si>
    <t>Claim Type</t>
  </si>
  <si>
    <t>Claim Amount</t>
  </si>
  <si>
    <t>Status</t>
  </si>
  <si>
    <t>Processing Time (Days)</t>
  </si>
  <si>
    <t>C001</t>
  </si>
  <si>
    <t>14/05/2025</t>
  </si>
  <si>
    <t>East</t>
  </si>
  <si>
    <t>Auto</t>
  </si>
  <si>
    <t>Rejected</t>
  </si>
  <si>
    <t>C002</t>
  </si>
  <si>
    <t>17/10/2025</t>
  </si>
  <si>
    <t>Travel</t>
  </si>
  <si>
    <t>Approved</t>
  </si>
  <si>
    <t>C003</t>
  </si>
  <si>
    <t>C004</t>
  </si>
  <si>
    <t>South</t>
  </si>
  <si>
    <t>C005</t>
  </si>
  <si>
    <t>West</t>
  </si>
  <si>
    <t>C006</t>
  </si>
  <si>
    <t>28/09/2025</t>
  </si>
  <si>
    <t>C007</t>
  </si>
  <si>
    <t>23/05/2025</t>
  </si>
  <si>
    <t>Pending</t>
  </si>
  <si>
    <t>C008</t>
  </si>
  <si>
    <t>16/10/2025</t>
  </si>
  <si>
    <t>Home</t>
  </si>
  <si>
    <t>C009</t>
  </si>
  <si>
    <t>North</t>
  </si>
  <si>
    <t>C010</t>
  </si>
  <si>
    <t>29/05/2025</t>
  </si>
  <si>
    <t>C011</t>
  </si>
  <si>
    <t>C012</t>
  </si>
  <si>
    <t>31/01/2025</t>
  </si>
  <si>
    <t>C013</t>
  </si>
  <si>
    <t>25/11/2025</t>
  </si>
  <si>
    <t>C014</t>
  </si>
  <si>
    <t>23/01/2025</t>
  </si>
  <si>
    <t>C015</t>
  </si>
  <si>
    <t>20/08/2025</t>
  </si>
  <si>
    <t>Health</t>
  </si>
  <si>
    <t>C016</t>
  </si>
  <si>
    <t>19/08/2025</t>
  </si>
  <si>
    <t>C017</t>
  </si>
  <si>
    <t>20/12/2025</t>
  </si>
  <si>
    <t>C018</t>
  </si>
  <si>
    <t>13/06/2025</t>
  </si>
  <si>
    <t>C019</t>
  </si>
  <si>
    <t>20/10/2025</t>
  </si>
  <si>
    <t>C020</t>
  </si>
  <si>
    <t>19/02/2025</t>
  </si>
  <si>
    <t>C021</t>
  </si>
  <si>
    <t>C022</t>
  </si>
  <si>
    <t>29/08/2025</t>
  </si>
  <si>
    <t>C023</t>
  </si>
  <si>
    <t>C024</t>
  </si>
  <si>
    <t>29/01/2025</t>
  </si>
  <si>
    <t>C025</t>
  </si>
  <si>
    <t>15/02/2025</t>
  </si>
  <si>
    <t>C026</t>
  </si>
  <si>
    <t>23/03/2025</t>
  </si>
  <si>
    <t>C027</t>
  </si>
  <si>
    <t>23/08/2025</t>
  </si>
  <si>
    <t>C028</t>
  </si>
  <si>
    <t>31/05/2025</t>
  </si>
  <si>
    <t>C029</t>
  </si>
  <si>
    <t>24/03/2025</t>
  </si>
  <si>
    <t>C030</t>
  </si>
  <si>
    <t>C031</t>
  </si>
  <si>
    <t>C032</t>
  </si>
  <si>
    <t>C033</t>
  </si>
  <si>
    <t>C034</t>
  </si>
  <si>
    <t>28/01/2025</t>
  </si>
  <si>
    <t>C035</t>
  </si>
  <si>
    <t>C036</t>
  </si>
  <si>
    <t>C037</t>
  </si>
  <si>
    <t>C038</t>
  </si>
  <si>
    <t>28/07/2025</t>
  </si>
  <si>
    <t>C039</t>
  </si>
  <si>
    <t>31/03/2025</t>
  </si>
  <si>
    <t>C040</t>
  </si>
  <si>
    <t>C041</t>
  </si>
  <si>
    <t>C042</t>
  </si>
  <si>
    <t>14/02/2025</t>
  </si>
  <si>
    <t>C043</t>
  </si>
  <si>
    <t>C044</t>
  </si>
  <si>
    <t>16/07/2025</t>
  </si>
  <si>
    <t>C045</t>
  </si>
  <si>
    <t>C046</t>
  </si>
  <si>
    <t>15/06/2025</t>
  </si>
  <si>
    <t>C047</t>
  </si>
  <si>
    <t>25/10/2025</t>
  </si>
  <si>
    <t>C048</t>
  </si>
  <si>
    <t>C049</t>
  </si>
  <si>
    <t>C050</t>
  </si>
  <si>
    <t>C051</t>
  </si>
  <si>
    <t>C052</t>
  </si>
  <si>
    <t>27/09/2025</t>
  </si>
  <si>
    <t>C053</t>
  </si>
  <si>
    <t>20/07/2025</t>
  </si>
  <si>
    <t>C054</t>
  </si>
  <si>
    <t>23/10/2025</t>
  </si>
  <si>
    <t>C055</t>
  </si>
  <si>
    <t>C056</t>
  </si>
  <si>
    <t>C057</t>
  </si>
  <si>
    <t>22/10/2025</t>
  </si>
  <si>
    <t>C058</t>
  </si>
  <si>
    <t>26/10/2025</t>
  </si>
  <si>
    <t>C059</t>
  </si>
  <si>
    <t>C060</t>
  </si>
  <si>
    <t>C061</t>
  </si>
  <si>
    <t>27/08/2025</t>
  </si>
  <si>
    <t>C062</t>
  </si>
  <si>
    <t>C063</t>
  </si>
  <si>
    <t>C064</t>
  </si>
  <si>
    <t>22/03/2025</t>
  </si>
  <si>
    <t>C065</t>
  </si>
  <si>
    <t>18/07/2025</t>
  </si>
  <si>
    <t>C066</t>
  </si>
  <si>
    <t>25/05/2025</t>
  </si>
  <si>
    <t>C067</t>
  </si>
  <si>
    <t>C068</t>
  </si>
  <si>
    <t>29/03/2025</t>
  </si>
  <si>
    <t>C069</t>
  </si>
  <si>
    <t>23/06/2025</t>
  </si>
  <si>
    <t>C070</t>
  </si>
  <si>
    <t>24/10/2025</t>
  </si>
  <si>
    <t>C071</t>
  </si>
  <si>
    <t>13/03/2025</t>
  </si>
  <si>
    <t>C072</t>
  </si>
  <si>
    <t>21/01/2025</t>
  </si>
  <si>
    <t>C073</t>
  </si>
  <si>
    <t>C074</t>
  </si>
  <si>
    <t>23/09/2025</t>
  </si>
  <si>
    <t>C075</t>
  </si>
  <si>
    <t>13/10/2025</t>
  </si>
  <si>
    <t>C076</t>
  </si>
  <si>
    <t>24/02/2025</t>
  </si>
  <si>
    <t>C077</t>
  </si>
  <si>
    <t>C078</t>
  </si>
  <si>
    <t>C079</t>
  </si>
  <si>
    <t>20/03/2025</t>
  </si>
  <si>
    <t>C080</t>
  </si>
  <si>
    <t>17/12/2025</t>
  </si>
  <si>
    <t>C081</t>
  </si>
  <si>
    <t>C082</t>
  </si>
  <si>
    <t>26/02/2025</t>
  </si>
  <si>
    <t>C083</t>
  </si>
  <si>
    <t>18/08/2025</t>
  </si>
  <si>
    <t>C084</t>
  </si>
  <si>
    <t>29/10/2025</t>
  </si>
  <si>
    <t>C085</t>
  </si>
  <si>
    <t>C086</t>
  </si>
  <si>
    <t>C087</t>
  </si>
  <si>
    <t>C088</t>
  </si>
  <si>
    <t>27/12/2025</t>
  </si>
  <si>
    <t>C089</t>
  </si>
  <si>
    <t>24/07/2025</t>
  </si>
  <si>
    <t>C090</t>
  </si>
  <si>
    <t>C091</t>
  </si>
  <si>
    <t>C092</t>
  </si>
  <si>
    <t>C093</t>
  </si>
  <si>
    <t>15/10/2025</t>
  </si>
  <si>
    <t>C094</t>
  </si>
  <si>
    <t>18/06/2025</t>
  </si>
  <si>
    <t>C095</t>
  </si>
  <si>
    <t>C096</t>
  </si>
  <si>
    <t>C097</t>
  </si>
  <si>
    <t>29/12/2025</t>
  </si>
  <si>
    <t>C098</t>
  </si>
  <si>
    <t>13/09/2025</t>
  </si>
  <si>
    <t>C099</t>
  </si>
  <si>
    <t>30/09/2025</t>
  </si>
  <si>
    <t>C100</t>
  </si>
  <si>
    <t>17/04/2025</t>
  </si>
  <si>
    <t>C101</t>
  </si>
  <si>
    <t>C102</t>
  </si>
  <si>
    <t>14/09/2025</t>
  </si>
  <si>
    <t>C103</t>
  </si>
  <si>
    <t>C104</t>
  </si>
  <si>
    <t>C105</t>
  </si>
  <si>
    <t>C106</t>
  </si>
  <si>
    <t>C107</t>
  </si>
  <si>
    <t>21/03/2025</t>
  </si>
  <si>
    <t>C108</t>
  </si>
  <si>
    <t>C109</t>
  </si>
  <si>
    <t>25/03/2025</t>
  </si>
  <si>
    <t>C110</t>
  </si>
  <si>
    <t>29/04/2025</t>
  </si>
  <si>
    <t>C111</t>
  </si>
  <si>
    <t>19/12/2025</t>
  </si>
  <si>
    <t>C112</t>
  </si>
  <si>
    <t>C113</t>
  </si>
  <si>
    <t>C114</t>
  </si>
  <si>
    <t>C115</t>
  </si>
  <si>
    <t>25/02/2025</t>
  </si>
  <si>
    <t>C116</t>
  </si>
  <si>
    <t>C117</t>
  </si>
  <si>
    <t>C118</t>
  </si>
  <si>
    <t>19/05/2025</t>
  </si>
  <si>
    <t>C119</t>
  </si>
  <si>
    <t>C120</t>
  </si>
  <si>
    <t>C121</t>
  </si>
  <si>
    <t>C122</t>
  </si>
  <si>
    <t>C123</t>
  </si>
  <si>
    <t>C124</t>
  </si>
  <si>
    <t>C125</t>
  </si>
  <si>
    <t>C126</t>
  </si>
  <si>
    <t>13/07/2025</t>
  </si>
  <si>
    <t>C127</t>
  </si>
  <si>
    <t>16/12/2025</t>
  </si>
  <si>
    <t>C128</t>
  </si>
  <si>
    <t>26/03/2025</t>
  </si>
  <si>
    <t>C129</t>
  </si>
  <si>
    <t>C130</t>
  </si>
  <si>
    <t>25/09/2025</t>
  </si>
  <si>
    <t>C131</t>
  </si>
  <si>
    <t>C132</t>
  </si>
  <si>
    <t>C133</t>
  </si>
  <si>
    <t>C134</t>
  </si>
  <si>
    <t>C135</t>
  </si>
  <si>
    <t>25/07/2025</t>
  </si>
  <si>
    <t>C136</t>
  </si>
  <si>
    <t>C137</t>
  </si>
  <si>
    <t>C138</t>
  </si>
  <si>
    <t>21/09/2025</t>
  </si>
  <si>
    <t>C139</t>
  </si>
  <si>
    <t>30/06/2025</t>
  </si>
  <si>
    <t>C140</t>
  </si>
  <si>
    <t>17/11/2025</t>
  </si>
  <si>
    <t>C141</t>
  </si>
  <si>
    <t>C142</t>
  </si>
  <si>
    <t>28/05/2025</t>
  </si>
  <si>
    <t>C143</t>
  </si>
  <si>
    <t>25/06/2025</t>
  </si>
  <si>
    <t>C144</t>
  </si>
  <si>
    <t>C145</t>
  </si>
  <si>
    <t>18/03/2025</t>
  </si>
  <si>
    <t>C146</t>
  </si>
  <si>
    <t>C147</t>
  </si>
  <si>
    <t>C148</t>
  </si>
  <si>
    <t>28/03/2025</t>
  </si>
  <si>
    <t>C149</t>
  </si>
  <si>
    <t>30/01/2025</t>
  </si>
  <si>
    <t>C150</t>
  </si>
  <si>
    <t>C151</t>
  </si>
  <si>
    <t>C152</t>
  </si>
  <si>
    <t>C153</t>
  </si>
  <si>
    <t>23/07/2025</t>
  </si>
  <si>
    <t>C154</t>
  </si>
  <si>
    <t>C155</t>
  </si>
  <si>
    <t>C156</t>
  </si>
  <si>
    <t>22/09/2025</t>
  </si>
  <si>
    <t>C157</t>
  </si>
  <si>
    <t>15/01/2025</t>
  </si>
  <si>
    <t>C158</t>
  </si>
  <si>
    <t>13/04/2025</t>
  </si>
  <si>
    <t>C159</t>
  </si>
  <si>
    <t>28/02/2025</t>
  </si>
  <si>
    <t>C160</t>
  </si>
  <si>
    <t>C161</t>
  </si>
  <si>
    <t>C162</t>
  </si>
  <si>
    <t>C163</t>
  </si>
  <si>
    <t>C164</t>
  </si>
  <si>
    <t>19/10/2025</t>
  </si>
  <si>
    <t>C165</t>
  </si>
  <si>
    <t>22/06/2025</t>
  </si>
  <si>
    <t>C166</t>
  </si>
  <si>
    <t>20/02/2025</t>
  </si>
  <si>
    <t>C167</t>
  </si>
  <si>
    <t>22/08/2025</t>
  </si>
  <si>
    <t>C168</t>
  </si>
  <si>
    <t>C169</t>
  </si>
  <si>
    <t>C170</t>
  </si>
  <si>
    <t>17/05/2025</t>
  </si>
  <si>
    <t>C171</t>
  </si>
  <si>
    <t>27/02/2025</t>
  </si>
  <si>
    <t>C172</t>
  </si>
  <si>
    <t>25/01/2025</t>
  </si>
  <si>
    <t>C173</t>
  </si>
  <si>
    <t>27/04/2025</t>
  </si>
  <si>
    <t>C174</t>
  </si>
  <si>
    <t>C175</t>
  </si>
  <si>
    <t>C176</t>
  </si>
  <si>
    <t>30/03/2025</t>
  </si>
  <si>
    <t>C177</t>
  </si>
  <si>
    <t>26/05/2025</t>
  </si>
  <si>
    <t>C178</t>
  </si>
  <si>
    <t>22/04/2025</t>
  </si>
  <si>
    <t>C179</t>
  </si>
  <si>
    <t>22/02/2025</t>
  </si>
  <si>
    <t>C180</t>
  </si>
  <si>
    <t>24/04/2025</t>
  </si>
  <si>
    <t>C181</t>
  </si>
  <si>
    <t>C182</t>
  </si>
  <si>
    <t>16/01/2025</t>
  </si>
  <si>
    <t>C183</t>
  </si>
  <si>
    <t>C184</t>
  </si>
  <si>
    <t>30/12/2025</t>
  </si>
  <si>
    <t>C185</t>
  </si>
  <si>
    <t>C186</t>
  </si>
  <si>
    <t>C187</t>
  </si>
  <si>
    <t>C188</t>
  </si>
  <si>
    <t>C189</t>
  </si>
  <si>
    <t>15/05/2025</t>
  </si>
  <si>
    <t>C190</t>
  </si>
  <si>
    <t>C191</t>
  </si>
  <si>
    <t>16/03/2025</t>
  </si>
  <si>
    <t>C192</t>
  </si>
  <si>
    <t>17/09/2025</t>
  </si>
  <si>
    <t>C193</t>
  </si>
  <si>
    <t>20/09/2025</t>
  </si>
  <si>
    <t>C194</t>
  </si>
  <si>
    <t>C195</t>
  </si>
  <si>
    <t>C196</t>
  </si>
  <si>
    <t>C197</t>
  </si>
  <si>
    <t>C198</t>
  </si>
  <si>
    <t>30/07/2025</t>
  </si>
  <si>
    <t>C199</t>
  </si>
  <si>
    <t>C200</t>
  </si>
  <si>
    <t>26/11/2025</t>
  </si>
  <si>
    <t>Avg Processing Time</t>
  </si>
  <si>
    <t>Total Claims</t>
  </si>
  <si>
    <t>TOTAL CLAIMS</t>
  </si>
  <si>
    <t>APPROVED CLAIMS</t>
  </si>
  <si>
    <t>TOTAL CLAIM AMOUNT</t>
  </si>
  <si>
    <t>AVG PROCESSING TIME</t>
  </si>
  <si>
    <t>Count</t>
  </si>
  <si>
    <t>Total Amount</t>
  </si>
  <si>
    <t>Claim by Type</t>
  </si>
  <si>
    <t>Claim by Region</t>
  </si>
  <si>
    <t>Month</t>
  </si>
  <si>
    <t>Monthly Claim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</si>
  <si>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</si>
  <si>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</si>
  <si>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</si>
  <si>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</si>
  <si>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</si>
  <si>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</si>
  <si>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</si>
  <si>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</si>
  <si>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</si>
  <si>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</si>
  <si>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</si>
  <si>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</si>
  <si>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Processing Time by Region</t>
  </si>
  <si>
    <t>Insurance Claims Dashboard</t>
  </si>
  <si>
    <t>S</t>
  </si>
  <si>
    <t>APPROVAL %</t>
  </si>
  <si>
    <t>REJECTION %</t>
  </si>
  <si>
    <t>*Highest claim month: July *Slowest processing region: North *Highest claim type: Home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</si>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</sst>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M&quot;* #,##0.00_-;\-&quot;RM&quot;* #,##0.00_-;_-&quot;RM&quot;* &quot;-&quot;??_-;_-@_-"/>
    <numFmt numFmtId="164" formatCode="&quot;RM&quot;#,##0"/>
    <numFmt numFmtId="165" formatCode="_-[$RM-4409]* #,##0_-;\-[$RM-4409]* #,##0_-;_-[$RM-4409]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0" fillId="0" borderId="0" xfId="0" applyFont="1"/>
    <xf numFmtId="0" fontId="18" fillId="0" borderId="0" xfId="0" applyFont="1"/>
    <xf numFmtId="0" fontId="24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24" fillId="0" borderId="2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164" fontId="13" fillId="0" borderId="22" xfId="42" applyNumberFormat="1" applyFont="1" applyFill="1" applyBorder="1" applyAlignment="1">
      <alignment horizontal="center"/>
    </xf>
    <xf numFmtId="164" fontId="13" fillId="0" borderId="16" xfId="42" applyNumberFormat="1" applyFont="1" applyFill="1" applyBorder="1" applyAlignment="1">
      <alignment horizontal="center"/>
    </xf>
    <xf numFmtId="164" fontId="13" fillId="0" borderId="13" xfId="42" applyNumberFormat="1" applyFont="1" applyFill="1" applyBorder="1" applyAlignment="1">
      <alignment horizontal="center"/>
    </xf>
    <xf numFmtId="0" fontId="21" fillId="0" borderId="0" xfId="0" applyFont="1" applyAlignment="1">
      <alignment vertic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8" fillId="0" borderId="0" xfId="0" applyFont="1" applyAlignment="1">
      <alignment wrapText="1"/>
    </xf>
    <xf numFmtId="0" fontId="23" fillId="0" borderId="0" xfId="0" applyFont="1" applyBorder="1" applyAlignment="1">
      <alignment vertical="center"/>
    </xf>
    <xf numFmtId="0" fontId="22" fillId="0" borderId="0" xfId="0" applyFont="1" applyFill="1" applyBorder="1" applyAlignment="1"/>
    <xf numFmtId="0" fontId="22" fillId="0" borderId="0" xfId="0" applyFont="1" applyBorder="1" applyAlignment="1"/>
    <xf numFmtId="164" fontId="23" fillId="0" borderId="17" xfId="0" applyNumberFormat="1" applyFont="1" applyFill="1" applyBorder="1" applyAlignment="1">
      <alignment horizontal="center" vertical="center"/>
    </xf>
    <xf numFmtId="164" fontId="23" fillId="0" borderId="18" xfId="0" applyNumberFormat="1" applyFont="1" applyFill="1" applyBorder="1" applyAlignment="1">
      <alignment horizontal="center" vertical="center"/>
    </xf>
    <xf numFmtId="164" fontId="23" fillId="0" borderId="20" xfId="0" applyNumberFormat="1" applyFont="1" applyFill="1" applyBorder="1" applyAlignment="1">
      <alignment horizontal="center" vertical="center"/>
    </xf>
    <xf numFmtId="164" fontId="23" fillId="0" borderId="22" xfId="0" applyNumberFormat="1" applyFont="1" applyFill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center" vertical="center"/>
    </xf>
    <xf numFmtId="164" fontId="23" fillId="0" borderId="13" xfId="0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164" fontId="23" fillId="0" borderId="14" xfId="0" applyNumberFormat="1" applyFont="1" applyFill="1" applyBorder="1" applyAlignment="1">
      <alignment horizontal="center" vertical="center"/>
    </xf>
    <xf numFmtId="164" fontId="23" fillId="0" borderId="0" xfId="0" applyNumberFormat="1" applyFont="1" applyFill="1" applyBorder="1" applyAlignment="1">
      <alignment horizontal="center" vertical="center"/>
    </xf>
    <xf numFmtId="164" fontId="23" fillId="0" borderId="12" xfId="0" applyNumberFormat="1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>
      <alignment vertical="center"/>
    </xf>
    <xf numFmtId="0" fontId="22" fillId="0" borderId="10" xfId="0" applyFont="1" applyFill="1" applyBorder="1" applyAlignment="1">
      <alignment horizontal="center"/>
    </xf>
    <xf numFmtId="2" fontId="23" fillId="0" borderId="10" xfId="0" applyNumberFormat="1" applyFont="1" applyFill="1" applyBorder="1" applyAlignment="1">
      <alignment horizontal="center" vertical="center"/>
    </xf>
    <xf numFmtId="9" fontId="23" fillId="0" borderId="17" xfId="0" applyNumberFormat="1" applyFont="1" applyFill="1" applyBorder="1" applyAlignment="1">
      <alignment horizontal="center" vertical="center"/>
    </xf>
    <xf numFmtId="9" fontId="23" fillId="0" borderId="18" xfId="0" applyNumberFormat="1" applyFont="1" applyFill="1" applyBorder="1" applyAlignment="1">
      <alignment horizontal="center" vertical="center"/>
    </xf>
    <xf numFmtId="9" fontId="23" fillId="0" borderId="20" xfId="0" applyNumberFormat="1" applyFont="1" applyFill="1" applyBorder="1" applyAlignment="1">
      <alignment horizontal="center" vertical="center"/>
    </xf>
    <xf numFmtId="9" fontId="23" fillId="0" borderId="22" xfId="0" applyNumberFormat="1" applyFont="1" applyFill="1" applyBorder="1" applyAlignment="1">
      <alignment horizontal="center" vertical="center"/>
    </xf>
    <xf numFmtId="9" fontId="23" fillId="0" borderId="11" xfId="0" applyNumberFormat="1" applyFont="1" applyFill="1" applyBorder="1" applyAlignment="1">
      <alignment horizontal="center" vertical="center"/>
    </xf>
    <xf numFmtId="9" fontId="23" fillId="0" borderId="13" xfId="0" applyNumberFormat="1" applyFont="1" applyFill="1" applyBorder="1" applyAlignment="1">
      <alignment horizontal="center" vertical="center"/>
    </xf>
    <xf numFmtId="9" fontId="23" fillId="0" borderId="17" xfId="43" applyFont="1" applyFill="1" applyBorder="1" applyAlignment="1">
      <alignment horizontal="center" vertical="center"/>
    </xf>
    <xf numFmtId="9" fontId="23" fillId="0" borderId="14" xfId="43" applyFont="1" applyFill="1" applyBorder="1" applyAlignment="1">
      <alignment horizontal="center" vertical="center"/>
    </xf>
    <xf numFmtId="9" fontId="23" fillId="0" borderId="20" xfId="43" applyFont="1" applyFill="1" applyBorder="1" applyAlignment="1">
      <alignment horizontal="center" vertical="center"/>
    </xf>
    <xf numFmtId="9" fontId="23" fillId="0" borderId="0" xfId="43" applyFont="1" applyFill="1" applyBorder="1" applyAlignment="1">
      <alignment horizontal="center" vertical="center"/>
    </xf>
    <xf numFmtId="9" fontId="23" fillId="0" borderId="11" xfId="43" applyFont="1" applyFill="1" applyBorder="1" applyAlignment="1">
      <alignment horizontal="center" vertical="center"/>
    </xf>
    <xf numFmtId="9" fontId="23" fillId="0" borderId="12" xfId="43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26" fillId="0" borderId="0" xfId="0" applyFont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CLAIM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Dashboard!$AC$13</c:f>
              <c:strCache>
                <c:ptCount val="1"/>
                <c:pt idx="0">
                  <c:v>Total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Dashboard!$AA$14:$AA$17</c:f>
              <c:strCache>
                <c:ptCount val="4"/>
                <c:pt idx="0">
                  <c:v>Health</c:v>
                </c:pt>
                <c:pt idx="1">
                  <c:v>Auto</c:v>
                </c:pt>
                <c:pt idx="2">
                  <c:v>Home</c:v>
                </c:pt>
                <c:pt idx="3">
                  <c:v>Travel</c:v>
                </c:pt>
              </c:strCache>
            </c:strRef>
          </c:cat>
          <c:val>
            <c:numRef>
              <c:f>Dashboard!$AC$14:$AC$17</c:f>
              <c:numCache>
                <c:formatCode>"RM"#,##0</c:formatCode>
                <c:ptCount val="4"/>
                <c:pt idx="0">
                  <c:v>131224.86000000002</c:v>
                </c:pt>
                <c:pt idx="1">
                  <c:v>124552.07</c:v>
                </c:pt>
                <c:pt idx="2">
                  <c:v>156024.67000000004</c:v>
                </c:pt>
                <c:pt idx="3">
                  <c:v>141046.20000000001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9-40F2-A711-BC6FC2245A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49549048"/>
        <c:axId val="749544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Dashboard!$AB$13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tint val="7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tint val="7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tint val="7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Dashboard!$AA$14:$AA$17</c15:sqref>
                        </c15:formulaRef>
                      </c:ext>
                    </c:extLst>
                    <c:strCache>
                      <c:ptCount val="4"/>
                      <c:pt idx="0">
                        <c:v>Health</c:v>
                      </c:pt>
                      <c:pt idx="1">
                        <c:v>Auto</c:v>
                      </c:pt>
                      <c:pt idx="2">
                        <c:v>Home</c:v>
                      </c:pt>
                      <c:pt idx="3">
                        <c:v>Travel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Dashboard!$AB$14:$AB$17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47</c:v>
                      </c:pt>
                      <c:pt idx="1">
                        <c:v>51</c:v>
                      </c:pt>
                      <c:pt idx="2">
                        <c:v>52</c:v>
                      </c:pt>
                      <c:pt idx="3">
                        <c:v>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089-40F2-A711-BC6FC2245AE3}"/>
                  </c:ext>
                </c:extLst>
              </c15:ser>
            </c15:filteredBarSeries>
          </c:ext>
        </c:extLst>
      </c:barChart>
      <c:catAx>
        <c:axId val="74954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44568"/>
        <c:crosses val="autoZero"/>
        <c:auto val="1"/>
        <c:lblAlgn val="ctr"/>
        <c:lblOffset val="100"/>
        <c:noMultiLvlLbl val="0"/>
      </c:catAx>
      <c:valAx>
        <c:axId val="749544568"/>
        <c:scaling>
          <c:orientation val="minMax"/>
        </c:scaling>
        <c:delete val="1"/>
        <c:axPos val="l"/>
        <c:numFmt formatCode="&quot;RM&quot;#,##0" sourceLinked="1"/>
        <c:majorTickMark val="none"/>
        <c:minorTickMark val="none"/>
        <c:tickLblPos val="nextTo"/>
        <c:crossAx val="7495490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CLAIM BY REGION</a:t>
            </a:r>
          </a:p>
        </c:rich>
      </c:tx>
      <c:layout>
        <c:manualLayout>
          <c:xMode val="edge"/>
          <c:yMode val="edge"/>
          <c:x val="0.3494539715287947"/>
          <c:y val="4.4093732243970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Dashboard!$AB$7</c:f>
              <c:strCache>
                <c:ptCount val="1"/>
                <c:pt idx="0">
                  <c:v>Count</c:v>
                </c:pt>
              </c:strCache>
            </c:strRef>
          </c:tx>
          <c:spPr>
            <a:effectLst>
              <a:glow rad="101600">
                <a:schemeClr val="tx1">
                  <a:alpha val="40000"/>
                </a:schemeClr>
              </a:glow>
              <a:softEdge rad="31750"/>
            </a:effectLst>
          </c:spPr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40000"/>
                  </a:schemeClr>
                </a:glow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1-87C2-4074-92BA-1ACB10901E5B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40000"/>
                  </a:schemeClr>
                </a:glow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3-87C2-4074-92BA-1ACB10901E5B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40000"/>
                  </a:schemeClr>
                </a:glow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5-87C2-4074-92BA-1ACB10901E5B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40000"/>
                  </a:schemeClr>
                </a:glow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7-87C2-4074-92BA-1ACB10901E5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chemeClr val="accent2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7C2-4074-92BA-1ACB10901E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chemeClr val="accent2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7C2-4074-92BA-1ACB10901E5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chemeClr val="accent2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7C2-4074-92BA-1ACB10901E5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chemeClr val="accent2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7C2-4074-92BA-1ACB10901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spc="0" baseline="0">
                    <a:solidFill>
                      <a:schemeClr val="accent2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Dashboard!$AA$8:$AA$11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Dashboard!$AB$8:$AB$11</c:f>
              <c:numCache>
                <c:formatCode>General</c:formatCode>
                <c:ptCount val="4"/>
                <c:pt idx="0">
                  <c:v>56</c:v>
                </c:pt>
                <c:pt idx="1">
                  <c:v>40</c:v>
                </c:pt>
                <c:pt idx="2">
                  <c:v>54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B-4CA5-8CAF-9CCEA456EC0F}"/>
            </c:ext>
          </c:extLst>
        </c:ser>
        <c:ser>
          <c:idx val="1"/>
          <c:order val="1"/>
          <c:tx>
            <c:strRef>
              <c:f>Dashboard!$AC$7</c:f>
              <c:strCache>
                <c:ptCount val="1"/>
                <c:pt idx="0">
                  <c:v>Total Amount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C2-4074-92BA-1ACB10901E5B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7C2-4074-92BA-1ACB10901E5B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7C2-4074-92BA-1ACB10901E5B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7C2-4074-92BA-1ACB10901E5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7C2-4074-92BA-1ACB10901E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7C2-4074-92BA-1ACB10901E5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7C2-4074-92BA-1ACB10901E5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7C2-4074-92BA-1ACB10901E5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Dashboard!$AA$8:$AA$11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Dashboard!$AC$8:$AC$11</c:f>
              <c:numCache>
                <c:formatCode>"RM"#,##0</c:formatCode>
                <c:ptCount val="4"/>
                <c:pt idx="0">
                  <c:v>150657.21000000002</c:v>
                </c:pt>
                <c:pt idx="1">
                  <c:v>101784.04999999999</c:v>
                </c:pt>
                <c:pt idx="2">
                  <c:v>154569.40000000008</c:v>
                </c:pt>
                <c:pt idx="3">
                  <c:v>145837.13999999998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B-4CA5-8CAF-9CCEA456EC0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MONTHLY CLAIM AMOUNT TREND</a:t>
            </a:r>
          </a:p>
        </c:rich>
      </c:tx>
      <c:layout>
        <c:manualLayout>
          <c:xMode val="edge"/>
          <c:yMode val="edge"/>
          <c:x val="0.186708595738264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155248799030449E-2"/>
          <c:y val="8.6945814696427995E-2"/>
          <c:w val="0.9571407884505273"/>
          <c:h val="0.771533926094085"/>
        </c:manualLayout>
      </c:layout>
      <c:lineChart>
        <c:grouping val="standard"/>
        <c:varyColors val="0"/>
        <c:ser>
          <c:idx val="1"/>
          <c:order val="1"/>
          <c:tx>
            <c:strRef>
              <c:f>Dashboard!$X$14</c:f>
              <c:strCache>
                <c:ptCount val="1"/>
                <c:pt idx="0">
                  <c:v>Total Amount</c:v>
                </c:pt>
              </c:strCache>
            </c:strRef>
          </c:tx>
          <c:spPr>
            <a:ln w="22225" cap="rnd">
              <a:solidFill>
                <a:schemeClr val="accent2">
                  <a:alpha val="80000"/>
                </a:schemeClr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228883023447365E-2"/>
                  <c:y val="-1.1566258037752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98-46B2-900E-515702346016}"/>
                </c:ext>
              </c:extLst>
            </c:dLbl>
            <c:dLbl>
              <c:idx val="1"/>
              <c:layout>
                <c:manualLayout>
                  <c:x val="-6.843652133474494E-2"/>
                  <c:y val="2.8915645094381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98-46B2-900E-515702346016}"/>
                </c:ext>
              </c:extLst>
            </c:dLbl>
            <c:dLbl>
              <c:idx val="2"/>
              <c:layout>
                <c:manualLayout>
                  <c:x val="-6.2030827025573873E-2"/>
                  <c:y val="-2.8915645094381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98-46B2-900E-515702346016}"/>
                </c:ext>
              </c:extLst>
            </c:dLbl>
            <c:dLbl>
              <c:idx val="5"/>
              <c:layout>
                <c:manualLayout>
                  <c:x val="-7.4842215643916105E-2"/>
                  <c:y val="2.3132516075504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98-46B2-900E-515702346016}"/>
                </c:ext>
              </c:extLst>
            </c:dLbl>
            <c:dLbl>
              <c:idx val="6"/>
              <c:layout>
                <c:manualLayout>
                  <c:x val="-5.7760364152793203E-2"/>
                  <c:y val="-3.1807209603819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98-46B2-900E-515702346016}"/>
                </c:ext>
              </c:extLst>
            </c:dLbl>
            <c:dLbl>
              <c:idx val="7"/>
              <c:layout>
                <c:manualLayout>
                  <c:x val="-8.5518372825867842E-2"/>
                  <c:y val="3.180720960381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98-46B2-900E-515702346016}"/>
                </c:ext>
              </c:extLst>
            </c:dLbl>
            <c:dLbl>
              <c:idx val="9"/>
              <c:layout>
                <c:manualLayout>
                  <c:x val="-6.4166058461964215E-2"/>
                  <c:y val="-3.1807209603819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98-46B2-900E-515702346016}"/>
                </c:ext>
              </c:extLst>
            </c:dLbl>
            <c:dLbl>
              <c:idx val="10"/>
              <c:layout>
                <c:manualLayout>
                  <c:x val="-7.4842215643916021E-2"/>
                  <c:y val="4.0481903132133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98-46B2-900E-515702346016}"/>
                </c:ext>
              </c:extLst>
            </c:dLbl>
            <c:dLbl>
              <c:idx val="11"/>
              <c:layout>
                <c:manualLayout>
                  <c:x val="-1.6310141861751888E-3"/>
                  <c:y val="-3.1807209603819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98-46B2-900E-515702346016}"/>
                </c:ext>
              </c:extLst>
            </c:dLbl>
            <c:numFmt formatCode="&quot;RM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Dashboard!$V$15:$V$26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Dashboard!$X$15:$X$26</c:f>
              <c:numCache>
                <c:formatCode>"RM"#,##0</c:formatCode>
                <c:ptCount val="12"/>
                <c:pt idx="0">
                  <c:v>48150.459999999992</c:v>
                </c:pt>
                <c:pt idx="1">
                  <c:v>40449.89</c:v>
                </c:pt>
                <c:pt idx="2">
                  <c:v>60236.979999999996</c:v>
                </c:pt>
                <c:pt idx="3">
                  <c:v>41719.31</c:v>
                </c:pt>
                <c:pt idx="4">
                  <c:v>55802.19</c:v>
                </c:pt>
                <c:pt idx="5">
                  <c:v>47780.130000000005</c:v>
                </c:pt>
                <c:pt idx="6">
                  <c:v>81611.61</c:v>
                </c:pt>
                <c:pt idx="7">
                  <c:v>28134.65</c:v>
                </c:pt>
                <c:pt idx="8">
                  <c:v>38951.850000000006</c:v>
                </c:pt>
                <c:pt idx="9">
                  <c:v>52678.930000000008</c:v>
                </c:pt>
                <c:pt idx="10">
                  <c:v>28602.18</c:v>
                </c:pt>
                <c:pt idx="11">
                  <c:v>28729.62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C2-4B9C-863F-5DB6C02B1D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9521528"/>
        <c:axId val="749527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Dashboard!$W$14</c15:sqref>
                        </c15:formulaRef>
                      </c:ext>
                    </c:extLst>
                    <c:strCache>
                      <c:ptCount val="1"/>
                      <c:pt idx="0">
                        <c:v>Total Claims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dLbls>
                  <c:sp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15000"/>
                              <a:lumOff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Dashboard!$V$15:$V$26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Dashboard!$W$15:$W$26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22</c:v>
                      </c:pt>
                      <c:pt idx="3">
                        <c:v>16</c:v>
                      </c:pt>
                      <c:pt idx="4">
                        <c:v>20</c:v>
                      </c:pt>
                      <c:pt idx="5">
                        <c:v>15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18</c:v>
                      </c:pt>
                      <c:pt idx="10">
                        <c:v>9</c:v>
                      </c:pt>
                      <c:pt idx="11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C2-4B9C-863F-5DB6C02B1DE2}"/>
                  </c:ext>
                </c:extLst>
              </c15:ser>
            </c15:filteredLineSeries>
          </c:ext>
        </c:extLst>
      </c:lineChart>
      <c:catAx>
        <c:axId val="74952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27608"/>
        <c:crosses val="autoZero"/>
        <c:auto val="1"/>
        <c:lblAlgn val="ctr"/>
        <c:lblOffset val="100"/>
        <c:noMultiLvlLbl val="0"/>
      </c:catAx>
      <c:valAx>
        <c:axId val="749527608"/>
        <c:scaling>
          <c:orientation val="minMax"/>
        </c:scaling>
        <c:delete val="1"/>
        <c:axPos val="l"/>
        <c:numFmt formatCode="&quot;RM&quot;#,##0" sourceLinked="1"/>
        <c:majorTickMark val="none"/>
        <c:minorTickMark val="none"/>
        <c:tickLblPos val="nextTo"/>
        <c:crossAx val="7495215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MY" sz="2000"/>
              <a:t>AVG PROCESSING TIME BY REGION</a:t>
            </a:r>
          </a:p>
        </c:rich>
      </c:tx>
      <c:layout>
        <c:manualLayout>
          <c:xMode val="edge"/>
          <c:yMode val="edge"/>
          <c:x val="0.13258314360961143"/>
          <c:y val="3.4352464413759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Dashboard!$V$8:$V$11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Dashboard!$W$8:$W$11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F4B-4137-BD14-C1F5DB7AD55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Dashboard!$V$8:$V$11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Dashboard!$X$8:$X$11</c:f>
              <c:numCache>
                <c:formatCode>General</c:formatCode>
                <c:ptCount val="4"/>
                <c:pt idx="0">
                  <c:v>8.2142857142857135</c:v>
                </c:pt>
                <c:pt idx="1">
                  <c:v>7.9749999999999996</c:v>
                </c:pt>
                <c:pt idx="2">
                  <c:v>8.018518518518519</c:v>
                </c:pt>
                <c:pt idx="3">
                  <c:v>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4B-4137-BD14-C1F5DB7AD55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Dashboard!$V$8:$V$11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Dashboard!$Y$8:$Y$11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F4B-4137-BD14-C1F5DB7A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30"/>
        <c:axId val="749535288"/>
        <c:axId val="749535608"/>
      </c:barChart>
      <c:catAx>
        <c:axId val="74953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35608"/>
        <c:crosses val="autoZero"/>
        <c:auto val="1"/>
        <c:lblAlgn val="ctr"/>
        <c:lblOffset val="100"/>
        <c:noMultiLvlLbl val="0"/>
      </c:catAx>
      <c:valAx>
        <c:axId val="749535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9535288"/>
        <c:crosses val="autoZero"/>
        <c:crossBetween val="between"/>
      </c:valAx>
      <c:spPr>
        <a:noFill/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761375</xdr:colOff>
      <xdr:row>17</xdr:row>
      <xdr:rowOff>57150</xdr:rowOff>
    </xdr:from>
    <xdr:to>
      <xdr:col>8</xdr:col>
      <xdr:colOff>4375</xdr:colOff>
      <xdr:row>28</xdr:row>
      <xdr:rowOff>178801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FA082-CF58-A35F-34F0-302BD958A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762794</xdr:colOff>
      <xdr:row>7</xdr:row>
      <xdr:rowOff>78438</xdr:rowOff>
    </xdr:from>
    <xdr:to>
      <xdr:col>8</xdr:col>
      <xdr:colOff>5794</xdr:colOff>
      <xdr:row>17</xdr:row>
      <xdr:rowOff>19113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0DB41-49AA-84E8-BD42-3335F9C9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44252</xdr:colOff>
      <xdr:row>17</xdr:row>
      <xdr:rowOff>60871</xdr:rowOff>
    </xdr:from>
    <xdr:to>
      <xdr:col>16</xdr:col>
      <xdr:colOff>10886</xdr:colOff>
      <xdr:row>28</xdr:row>
      <xdr:rowOff>182522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1EAE6E-A128-634B-5A33-A4464A3F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44648</xdr:colOff>
      <xdr:row>7</xdr:row>
      <xdr:rowOff>76200</xdr:rowOff>
    </xdr:from>
    <xdr:to>
      <xdr:col>16</xdr:col>
      <xdr:colOff>7327</xdr:colOff>
      <xdr:row>17</xdr:row>
      <xdr:rowOff>16875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91B99-544D-4DAB-3F3A-364DF61B7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4FD3-CBD4-47B4-803E-9F13B5E026B7}">
  <dimension ref="A1:H201"/>
  <sheetViews>
    <sheetView workbookViewId="0">
      <selection activeCell="I3" sqref="I3"/>
    </sheetView>
  </sheetViews>
  <sheetFormatPr defaultRowHeight="15" x14ac:dyDescent="0.25"/>
  <cols>
    <col min="1" max="1" width="9.140625" style="1"/>
    <col min="2" max="2" width="15" style="1" bestFit="1" customWidth="1"/>
    <col min="3" max="3" width="15" style="1" customWidth="1"/>
    <col min="4" max="4" width="7.140625" style="1" bestFit="1" customWidth="1"/>
    <col min="5" max="5" width="10.7109375" style="1" bestFit="1" customWidth="1"/>
    <col min="6" max="6" width="13.7109375" style="31" bestFit="1" customWidth="1"/>
    <col min="7" max="7" width="9.7109375" style="1" bestFit="1" customWidth="1"/>
    <col min="8" max="8" width="21.7109375" style="32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333</v>
      </c>
      <c r="D1" s="1" t="s">
        <v>2</v>
      </c>
      <c r="E1" s="1" t="s">
        <v>3</v>
      </c>
      <c r="F1" s="31" t="s">
        <v>4</v>
      </c>
      <c r="G1" s="1" t="s">
        <v>5</v>
      </c>
      <c r="H1" s="32" t="s">
        <v>6</v>
      </c>
    </row>
    <row r="2" spans="1:8" x14ac:dyDescent="0.25">
      <c r="A2" s="1" t="s">
        <v>7</v>
      </c>
      <c r="B2" s="1" t="s">
        <v>8</v>
      </c>
      <c r="C2" s="1" t="str">
        <f>TEXT(B2,"mmm")</f>
        <v>May</v>
      </c>
      <c r="D2" s="1" t="s">
        <v>9</v>
      </c>
      <c r="E2" s="1" t="s">
        <v>10</v>
      </c>
      <c r="F2" s="31">
        <v>1349.16</v>
      </c>
      <c r="G2" s="1" t="s">
        <v>11</v>
      </c>
      <c r="H2" s="32">
        <v>2</v>
      </c>
    </row>
    <row r="3" spans="1:8" x14ac:dyDescent="0.25">
      <c r="A3" s="1" t="s">
        <v>12</v>
      </c>
      <c r="B3" s="1" t="s">
        <v>13</v>
      </c>
      <c r="C3" s="1" t="str">
        <f t="shared" ref="C3:C66" si="0">TEXT(B3,"mmm")</f>
        <v>Oct</v>
      </c>
      <c r="D3" s="1" t="s">
        <v>9</v>
      </c>
      <c r="E3" s="1" t="s">
        <v>14</v>
      </c>
      <c r="F3" s="31">
        <v>4436.26</v>
      </c>
      <c r="G3" s="1" t="s">
        <v>15</v>
      </c>
      <c r="H3" s="32">
        <v>1</v>
      </c>
    </row>
    <row r="4" spans="1:8" x14ac:dyDescent="0.25">
      <c r="A4" s="1" t="s">
        <v>16</v>
      </c>
      <c r="B4" s="2">
        <v>45757</v>
      </c>
      <c r="C4" s="1" t="str">
        <f t="shared" si="0"/>
        <v>Apr</v>
      </c>
      <c r="D4" s="1" t="s">
        <v>9</v>
      </c>
      <c r="E4" s="1" t="s">
        <v>10</v>
      </c>
      <c r="F4" s="31">
        <v>3315.76</v>
      </c>
      <c r="G4" s="1" t="s">
        <v>11</v>
      </c>
      <c r="H4" s="32">
        <v>9</v>
      </c>
    </row>
    <row r="5" spans="1:8" x14ac:dyDescent="0.25">
      <c r="A5" s="1" t="s">
        <v>17</v>
      </c>
      <c r="B5" s="2">
        <v>45758</v>
      </c>
      <c r="C5" s="1" t="str">
        <f t="shared" si="0"/>
        <v>Apr</v>
      </c>
      <c r="D5" s="1" t="s">
        <v>18</v>
      </c>
      <c r="E5" s="1" t="s">
        <v>10</v>
      </c>
      <c r="F5" s="31">
        <v>1370.42</v>
      </c>
      <c r="G5" s="1" t="s">
        <v>15</v>
      </c>
      <c r="H5" s="32">
        <v>6</v>
      </c>
    </row>
    <row r="6" spans="1:8" x14ac:dyDescent="0.25">
      <c r="A6" s="1" t="s">
        <v>19</v>
      </c>
      <c r="B6" s="2">
        <v>45660</v>
      </c>
      <c r="C6" s="1" t="str">
        <f t="shared" si="0"/>
        <v>Jan</v>
      </c>
      <c r="D6" s="1" t="s">
        <v>20</v>
      </c>
      <c r="E6" s="1" t="s">
        <v>10</v>
      </c>
      <c r="F6" s="31">
        <v>620.04999999999995</v>
      </c>
      <c r="G6" s="1" t="s">
        <v>15</v>
      </c>
      <c r="H6" s="32">
        <v>12</v>
      </c>
    </row>
    <row r="7" spans="1:8" x14ac:dyDescent="0.25">
      <c r="A7" s="1" t="s">
        <v>21</v>
      </c>
      <c r="B7" s="1" t="s">
        <v>22</v>
      </c>
      <c r="C7" s="1" t="str">
        <f t="shared" si="0"/>
        <v>Sep</v>
      </c>
      <c r="D7" s="1" t="s">
        <v>18</v>
      </c>
      <c r="E7" s="1" t="s">
        <v>10</v>
      </c>
      <c r="F7" s="31">
        <v>3066.87</v>
      </c>
      <c r="G7" s="1" t="s">
        <v>15</v>
      </c>
      <c r="H7" s="32">
        <v>4</v>
      </c>
    </row>
    <row r="8" spans="1:8" x14ac:dyDescent="0.25">
      <c r="A8" s="1" t="s">
        <v>23</v>
      </c>
      <c r="B8" s="1" t="s">
        <v>24</v>
      </c>
      <c r="C8" s="1" t="str">
        <f t="shared" si="0"/>
        <v>May</v>
      </c>
      <c r="D8" s="1" t="s">
        <v>18</v>
      </c>
      <c r="E8" s="1" t="s">
        <v>14</v>
      </c>
      <c r="F8" s="31">
        <v>2580.81</v>
      </c>
      <c r="G8" s="1" t="s">
        <v>25</v>
      </c>
      <c r="H8" s="32">
        <v>8</v>
      </c>
    </row>
    <row r="9" spans="1:8" x14ac:dyDescent="0.25">
      <c r="A9" s="1" t="s">
        <v>26</v>
      </c>
      <c r="B9" s="1" t="s">
        <v>27</v>
      </c>
      <c r="C9" s="1" t="str">
        <f t="shared" si="0"/>
        <v>Oct</v>
      </c>
      <c r="D9" s="1" t="s">
        <v>20</v>
      </c>
      <c r="E9" s="1" t="s">
        <v>28</v>
      </c>
      <c r="F9" s="31">
        <v>4423.58</v>
      </c>
      <c r="G9" s="1" t="s">
        <v>11</v>
      </c>
      <c r="H9" s="32">
        <v>4</v>
      </c>
    </row>
    <row r="10" spans="1:8" x14ac:dyDescent="0.25">
      <c r="A10" s="1" t="s">
        <v>29</v>
      </c>
      <c r="B10" s="2">
        <v>45839</v>
      </c>
      <c r="C10" s="1" t="str">
        <f t="shared" si="0"/>
        <v>Jul</v>
      </c>
      <c r="D10" s="1" t="s">
        <v>30</v>
      </c>
      <c r="E10" s="1" t="s">
        <v>14</v>
      </c>
      <c r="F10" s="31">
        <v>3286.07</v>
      </c>
      <c r="G10" s="1" t="s">
        <v>11</v>
      </c>
      <c r="H10" s="32">
        <v>11</v>
      </c>
    </row>
    <row r="11" spans="1:8" x14ac:dyDescent="0.25">
      <c r="A11" s="1" t="s">
        <v>31</v>
      </c>
      <c r="B11" s="1" t="s">
        <v>32</v>
      </c>
      <c r="C11" s="1" t="str">
        <f t="shared" si="0"/>
        <v>May</v>
      </c>
      <c r="D11" s="1" t="s">
        <v>30</v>
      </c>
      <c r="E11" s="1" t="s">
        <v>10</v>
      </c>
      <c r="F11" s="31">
        <v>3126.98</v>
      </c>
      <c r="G11" s="1" t="s">
        <v>25</v>
      </c>
      <c r="H11" s="32">
        <v>15</v>
      </c>
    </row>
    <row r="12" spans="1:8" x14ac:dyDescent="0.25">
      <c r="A12" s="1" t="s">
        <v>33</v>
      </c>
      <c r="B12" s="2">
        <v>45809</v>
      </c>
      <c r="C12" s="1" t="str">
        <f t="shared" si="0"/>
        <v>Jun</v>
      </c>
      <c r="D12" s="1" t="s">
        <v>20</v>
      </c>
      <c r="E12" s="1" t="s">
        <v>10</v>
      </c>
      <c r="F12" s="31">
        <v>1774.42</v>
      </c>
      <c r="G12" s="1" t="s">
        <v>25</v>
      </c>
      <c r="H12" s="32">
        <v>1</v>
      </c>
    </row>
    <row r="13" spans="1:8" x14ac:dyDescent="0.25">
      <c r="A13" s="1" t="s">
        <v>34</v>
      </c>
      <c r="B13" s="1" t="s">
        <v>35</v>
      </c>
      <c r="C13" s="1" t="str">
        <f t="shared" si="0"/>
        <v>Jan</v>
      </c>
      <c r="D13" s="1" t="s">
        <v>18</v>
      </c>
      <c r="E13" s="1" t="s">
        <v>28</v>
      </c>
      <c r="F13" s="31">
        <v>4329.4799999999996</v>
      </c>
      <c r="G13" s="1" t="s">
        <v>11</v>
      </c>
      <c r="H13" s="32">
        <v>13</v>
      </c>
    </row>
    <row r="14" spans="1:8" x14ac:dyDescent="0.25">
      <c r="A14" s="1" t="s">
        <v>36</v>
      </c>
      <c r="B14" s="1" t="s">
        <v>37</v>
      </c>
      <c r="C14" s="1" t="str">
        <f t="shared" si="0"/>
        <v>Nov</v>
      </c>
      <c r="D14" s="1" t="s">
        <v>18</v>
      </c>
      <c r="E14" s="1" t="s">
        <v>14</v>
      </c>
      <c r="F14" s="31">
        <v>2985.41</v>
      </c>
      <c r="G14" s="1" t="s">
        <v>15</v>
      </c>
      <c r="H14" s="32">
        <v>8</v>
      </c>
    </row>
    <row r="15" spans="1:8" x14ac:dyDescent="0.25">
      <c r="A15" s="1" t="s">
        <v>38</v>
      </c>
      <c r="B15" s="1" t="s">
        <v>39</v>
      </c>
      <c r="C15" s="1" t="str">
        <f t="shared" si="0"/>
        <v>Jan</v>
      </c>
      <c r="D15" s="1" t="s">
        <v>18</v>
      </c>
      <c r="E15" s="1" t="s">
        <v>14</v>
      </c>
      <c r="F15" s="31">
        <v>1727.01</v>
      </c>
      <c r="G15" s="1" t="s">
        <v>15</v>
      </c>
      <c r="H15" s="32">
        <v>11</v>
      </c>
    </row>
    <row r="16" spans="1:8" x14ac:dyDescent="0.25">
      <c r="A16" s="1" t="s">
        <v>40</v>
      </c>
      <c r="B16" s="1" t="s">
        <v>41</v>
      </c>
      <c r="C16" s="1" t="str">
        <f t="shared" si="0"/>
        <v>Aug</v>
      </c>
      <c r="D16" s="1" t="s">
        <v>9</v>
      </c>
      <c r="E16" s="1" t="s">
        <v>42</v>
      </c>
      <c r="F16" s="31">
        <v>820.25</v>
      </c>
      <c r="G16" s="1" t="s">
        <v>25</v>
      </c>
      <c r="H16" s="32">
        <v>13</v>
      </c>
    </row>
    <row r="17" spans="1:8" x14ac:dyDescent="0.25">
      <c r="A17" s="1" t="s">
        <v>43</v>
      </c>
      <c r="B17" s="1" t="s">
        <v>44</v>
      </c>
      <c r="C17" s="1" t="str">
        <f t="shared" si="0"/>
        <v>Aug</v>
      </c>
      <c r="D17" s="1" t="s">
        <v>18</v>
      </c>
      <c r="E17" s="1" t="s">
        <v>14</v>
      </c>
      <c r="F17" s="31">
        <v>2531.1799999999998</v>
      </c>
      <c r="G17" s="1" t="s">
        <v>25</v>
      </c>
      <c r="H17" s="32">
        <v>1</v>
      </c>
    </row>
    <row r="18" spans="1:8" x14ac:dyDescent="0.25">
      <c r="A18" s="1" t="s">
        <v>45</v>
      </c>
      <c r="B18" s="1" t="s">
        <v>46</v>
      </c>
      <c r="C18" s="1" t="str">
        <f t="shared" si="0"/>
        <v>Dec</v>
      </c>
      <c r="D18" s="1" t="s">
        <v>20</v>
      </c>
      <c r="E18" s="1" t="s">
        <v>28</v>
      </c>
      <c r="F18" s="31">
        <v>4800.49</v>
      </c>
      <c r="G18" s="1" t="s">
        <v>25</v>
      </c>
      <c r="H18" s="32">
        <v>5</v>
      </c>
    </row>
    <row r="19" spans="1:8" x14ac:dyDescent="0.25">
      <c r="A19" s="1" t="s">
        <v>47</v>
      </c>
      <c r="B19" s="1" t="s">
        <v>48</v>
      </c>
      <c r="C19" s="1" t="str">
        <f t="shared" si="0"/>
        <v>Jun</v>
      </c>
      <c r="D19" s="1" t="s">
        <v>18</v>
      </c>
      <c r="E19" s="1" t="s">
        <v>42</v>
      </c>
      <c r="F19" s="31">
        <v>3408.33</v>
      </c>
      <c r="G19" s="1" t="s">
        <v>25</v>
      </c>
      <c r="H19" s="32">
        <v>2</v>
      </c>
    </row>
    <row r="20" spans="1:8" x14ac:dyDescent="0.25">
      <c r="A20" s="1" t="s">
        <v>49</v>
      </c>
      <c r="B20" s="1" t="s">
        <v>50</v>
      </c>
      <c r="C20" s="1" t="str">
        <f t="shared" si="0"/>
        <v>Oct</v>
      </c>
      <c r="D20" s="1" t="s">
        <v>18</v>
      </c>
      <c r="E20" s="1" t="s">
        <v>28</v>
      </c>
      <c r="F20" s="31">
        <v>2190.94</v>
      </c>
      <c r="G20" s="1" t="s">
        <v>11</v>
      </c>
      <c r="H20" s="32">
        <v>11</v>
      </c>
    </row>
    <row r="21" spans="1:8" x14ac:dyDescent="0.25">
      <c r="A21" s="1" t="s">
        <v>51</v>
      </c>
      <c r="B21" s="1" t="s">
        <v>52</v>
      </c>
      <c r="C21" s="1" t="str">
        <f t="shared" si="0"/>
        <v>Feb</v>
      </c>
      <c r="D21" s="1" t="s">
        <v>30</v>
      </c>
      <c r="E21" s="1" t="s">
        <v>14</v>
      </c>
      <c r="F21" s="31">
        <v>4436.4399999999996</v>
      </c>
      <c r="G21" s="1" t="s">
        <v>11</v>
      </c>
      <c r="H21" s="32">
        <v>11</v>
      </c>
    </row>
    <row r="22" spans="1:8" x14ac:dyDescent="0.25">
      <c r="A22" s="1" t="s">
        <v>53</v>
      </c>
      <c r="B22" s="2">
        <v>45780</v>
      </c>
      <c r="C22" s="1" t="str">
        <f t="shared" si="0"/>
        <v>May</v>
      </c>
      <c r="D22" s="1" t="s">
        <v>20</v>
      </c>
      <c r="E22" s="1" t="s">
        <v>28</v>
      </c>
      <c r="F22" s="31">
        <v>1052.8900000000001</v>
      </c>
      <c r="G22" s="1" t="s">
        <v>15</v>
      </c>
      <c r="H22" s="32">
        <v>2</v>
      </c>
    </row>
    <row r="23" spans="1:8" x14ac:dyDescent="0.25">
      <c r="A23" s="1" t="s">
        <v>54</v>
      </c>
      <c r="B23" s="1" t="s">
        <v>55</v>
      </c>
      <c r="C23" s="1" t="str">
        <f t="shared" si="0"/>
        <v>Aug</v>
      </c>
      <c r="D23" s="1" t="s">
        <v>9</v>
      </c>
      <c r="E23" s="1" t="s">
        <v>42</v>
      </c>
      <c r="F23" s="31">
        <v>4122.76</v>
      </c>
      <c r="G23" s="1" t="s">
        <v>25</v>
      </c>
      <c r="H23" s="32">
        <v>13</v>
      </c>
    </row>
    <row r="24" spans="1:8" x14ac:dyDescent="0.25">
      <c r="A24" s="1" t="s">
        <v>56</v>
      </c>
      <c r="B24" s="2">
        <v>45968</v>
      </c>
      <c r="C24" s="1" t="str">
        <f t="shared" si="0"/>
        <v>Nov</v>
      </c>
      <c r="D24" s="1" t="s">
        <v>9</v>
      </c>
      <c r="E24" s="1" t="s">
        <v>14</v>
      </c>
      <c r="F24" s="31">
        <v>4865.97</v>
      </c>
      <c r="G24" s="1" t="s">
        <v>25</v>
      </c>
      <c r="H24" s="32">
        <v>2</v>
      </c>
    </row>
    <row r="25" spans="1:8" x14ac:dyDescent="0.25">
      <c r="A25" s="1" t="s">
        <v>57</v>
      </c>
      <c r="B25" s="1" t="s">
        <v>58</v>
      </c>
      <c r="C25" s="1" t="str">
        <f t="shared" si="0"/>
        <v>Jan</v>
      </c>
      <c r="D25" s="1" t="s">
        <v>18</v>
      </c>
      <c r="E25" s="1" t="s">
        <v>28</v>
      </c>
      <c r="F25" s="31">
        <v>4820.6400000000003</v>
      </c>
      <c r="G25" s="1" t="s">
        <v>11</v>
      </c>
      <c r="H25" s="32">
        <v>13</v>
      </c>
    </row>
    <row r="26" spans="1:8" x14ac:dyDescent="0.25">
      <c r="A26" s="1" t="s">
        <v>59</v>
      </c>
      <c r="B26" s="1" t="s">
        <v>60</v>
      </c>
      <c r="C26" s="1" t="str">
        <f t="shared" si="0"/>
        <v>Feb</v>
      </c>
      <c r="D26" s="1" t="s">
        <v>20</v>
      </c>
      <c r="E26" s="1" t="s">
        <v>10</v>
      </c>
      <c r="F26" s="31">
        <v>1230.47</v>
      </c>
      <c r="G26" s="1" t="s">
        <v>25</v>
      </c>
      <c r="H26" s="32">
        <v>3</v>
      </c>
    </row>
    <row r="27" spans="1:8" x14ac:dyDescent="0.25">
      <c r="A27" s="1" t="s">
        <v>61</v>
      </c>
      <c r="B27" s="1" t="s">
        <v>62</v>
      </c>
      <c r="C27" s="1" t="str">
        <f t="shared" si="0"/>
        <v>Mar</v>
      </c>
      <c r="D27" s="1" t="s">
        <v>20</v>
      </c>
      <c r="E27" s="1" t="s">
        <v>28</v>
      </c>
      <c r="F27" s="31">
        <v>3460.61</v>
      </c>
      <c r="G27" s="1" t="s">
        <v>15</v>
      </c>
      <c r="H27" s="32">
        <v>14</v>
      </c>
    </row>
    <row r="28" spans="1:8" x14ac:dyDescent="0.25">
      <c r="A28" s="1" t="s">
        <v>63</v>
      </c>
      <c r="B28" s="1" t="s">
        <v>64</v>
      </c>
      <c r="C28" s="1" t="str">
        <f t="shared" si="0"/>
        <v>Aug</v>
      </c>
      <c r="D28" s="1" t="s">
        <v>18</v>
      </c>
      <c r="E28" s="1" t="s">
        <v>14</v>
      </c>
      <c r="F28" s="31">
        <v>786.18</v>
      </c>
      <c r="G28" s="1" t="s">
        <v>25</v>
      </c>
      <c r="H28" s="32">
        <v>7</v>
      </c>
    </row>
    <row r="29" spans="1:8" x14ac:dyDescent="0.25">
      <c r="A29" s="1" t="s">
        <v>65</v>
      </c>
      <c r="B29" s="1" t="s">
        <v>66</v>
      </c>
      <c r="C29" s="1" t="str">
        <f t="shared" si="0"/>
        <v>May</v>
      </c>
      <c r="D29" s="1" t="s">
        <v>9</v>
      </c>
      <c r="E29" s="1" t="s">
        <v>10</v>
      </c>
      <c r="F29" s="31">
        <v>2327.4499999999998</v>
      </c>
      <c r="G29" s="1" t="s">
        <v>25</v>
      </c>
      <c r="H29" s="32">
        <v>3</v>
      </c>
    </row>
    <row r="30" spans="1:8" x14ac:dyDescent="0.25">
      <c r="A30" s="1" t="s">
        <v>67</v>
      </c>
      <c r="B30" s="1" t="s">
        <v>68</v>
      </c>
      <c r="C30" s="1" t="str">
        <f t="shared" si="0"/>
        <v>Mar</v>
      </c>
      <c r="D30" s="1" t="s">
        <v>20</v>
      </c>
      <c r="E30" s="1" t="s">
        <v>10</v>
      </c>
      <c r="F30" s="31">
        <v>2045.7</v>
      </c>
      <c r="G30" s="1" t="s">
        <v>25</v>
      </c>
      <c r="H30" s="32">
        <v>6</v>
      </c>
    </row>
    <row r="31" spans="1:8" x14ac:dyDescent="0.25">
      <c r="A31" s="1" t="s">
        <v>69</v>
      </c>
      <c r="B31" s="2">
        <v>45666</v>
      </c>
      <c r="C31" s="1" t="str">
        <f t="shared" si="0"/>
        <v>Jan</v>
      </c>
      <c r="D31" s="1" t="s">
        <v>20</v>
      </c>
      <c r="E31" s="1" t="s">
        <v>28</v>
      </c>
      <c r="F31" s="31">
        <v>3599.7</v>
      </c>
      <c r="G31" s="1" t="s">
        <v>25</v>
      </c>
      <c r="H31" s="32">
        <v>3</v>
      </c>
    </row>
    <row r="32" spans="1:8" x14ac:dyDescent="0.25">
      <c r="A32" s="1" t="s">
        <v>70</v>
      </c>
      <c r="B32" s="2">
        <v>45820</v>
      </c>
      <c r="C32" s="1" t="str">
        <f t="shared" si="0"/>
        <v>Jun</v>
      </c>
      <c r="D32" s="1" t="s">
        <v>20</v>
      </c>
      <c r="E32" s="1" t="s">
        <v>42</v>
      </c>
      <c r="F32" s="31">
        <v>4771.3500000000004</v>
      </c>
      <c r="G32" s="1" t="s">
        <v>11</v>
      </c>
      <c r="H32" s="32">
        <v>12</v>
      </c>
    </row>
    <row r="33" spans="1:8" x14ac:dyDescent="0.25">
      <c r="A33" s="1" t="s">
        <v>71</v>
      </c>
      <c r="B33" s="2">
        <v>45871</v>
      </c>
      <c r="C33" s="1" t="str">
        <f t="shared" si="0"/>
        <v>Aug</v>
      </c>
      <c r="D33" s="1" t="s">
        <v>20</v>
      </c>
      <c r="E33" s="1" t="s">
        <v>28</v>
      </c>
      <c r="F33" s="31">
        <v>2331.4499999999998</v>
      </c>
      <c r="G33" s="1" t="s">
        <v>15</v>
      </c>
      <c r="H33" s="32">
        <v>14</v>
      </c>
    </row>
    <row r="34" spans="1:8" x14ac:dyDescent="0.25">
      <c r="A34" s="1" t="s">
        <v>72</v>
      </c>
      <c r="B34" s="2">
        <v>45752</v>
      </c>
      <c r="C34" s="1" t="str">
        <f t="shared" si="0"/>
        <v>Apr</v>
      </c>
      <c r="D34" s="1" t="s">
        <v>20</v>
      </c>
      <c r="E34" s="1" t="s">
        <v>28</v>
      </c>
      <c r="F34" s="31">
        <v>2620.9299999999998</v>
      </c>
      <c r="G34" s="1" t="s">
        <v>25</v>
      </c>
      <c r="H34" s="32">
        <v>9</v>
      </c>
    </row>
    <row r="35" spans="1:8" x14ac:dyDescent="0.25">
      <c r="A35" s="1" t="s">
        <v>73</v>
      </c>
      <c r="B35" s="1" t="s">
        <v>74</v>
      </c>
      <c r="C35" s="1" t="str">
        <f t="shared" si="0"/>
        <v>Jan</v>
      </c>
      <c r="D35" s="1" t="s">
        <v>30</v>
      </c>
      <c r="E35" s="1" t="s">
        <v>42</v>
      </c>
      <c r="F35" s="31">
        <v>1289.26</v>
      </c>
      <c r="G35" s="1" t="s">
        <v>11</v>
      </c>
      <c r="H35" s="32">
        <v>1</v>
      </c>
    </row>
    <row r="36" spans="1:8" x14ac:dyDescent="0.25">
      <c r="A36" s="1" t="s">
        <v>75</v>
      </c>
      <c r="B36" s="2">
        <v>45659</v>
      </c>
      <c r="C36" s="1" t="str">
        <f t="shared" si="0"/>
        <v>Jan</v>
      </c>
      <c r="D36" s="1" t="s">
        <v>30</v>
      </c>
      <c r="E36" s="1" t="s">
        <v>10</v>
      </c>
      <c r="F36" s="31">
        <v>4224.6400000000003</v>
      </c>
      <c r="G36" s="1" t="s">
        <v>15</v>
      </c>
      <c r="H36" s="32">
        <v>11</v>
      </c>
    </row>
    <row r="37" spans="1:8" x14ac:dyDescent="0.25">
      <c r="A37" s="1" t="s">
        <v>76</v>
      </c>
      <c r="B37" s="2">
        <v>45846</v>
      </c>
      <c r="C37" s="1" t="str">
        <f t="shared" si="0"/>
        <v>Jul</v>
      </c>
      <c r="D37" s="1" t="s">
        <v>18</v>
      </c>
      <c r="E37" s="1" t="s">
        <v>10</v>
      </c>
      <c r="F37" s="31">
        <v>3407.28</v>
      </c>
      <c r="G37" s="1" t="s">
        <v>15</v>
      </c>
      <c r="H37" s="32">
        <v>12</v>
      </c>
    </row>
    <row r="38" spans="1:8" x14ac:dyDescent="0.25">
      <c r="A38" s="1" t="s">
        <v>77</v>
      </c>
      <c r="B38" s="2">
        <v>45848</v>
      </c>
      <c r="C38" s="1" t="str">
        <f t="shared" si="0"/>
        <v>Jul</v>
      </c>
      <c r="D38" s="1" t="s">
        <v>20</v>
      </c>
      <c r="E38" s="1" t="s">
        <v>14</v>
      </c>
      <c r="F38" s="31">
        <v>3197.56</v>
      </c>
      <c r="G38" s="1" t="s">
        <v>15</v>
      </c>
      <c r="H38" s="32">
        <v>5</v>
      </c>
    </row>
    <row r="39" spans="1:8" x14ac:dyDescent="0.25">
      <c r="A39" s="1" t="s">
        <v>78</v>
      </c>
      <c r="B39" s="1" t="s">
        <v>79</v>
      </c>
      <c r="C39" s="1" t="str">
        <f t="shared" si="0"/>
        <v>Jul</v>
      </c>
      <c r="D39" s="1" t="s">
        <v>9</v>
      </c>
      <c r="E39" s="1" t="s">
        <v>28</v>
      </c>
      <c r="F39" s="31">
        <v>2798.99</v>
      </c>
      <c r="G39" s="1" t="s">
        <v>11</v>
      </c>
      <c r="H39" s="32">
        <v>8</v>
      </c>
    </row>
    <row r="40" spans="1:8" x14ac:dyDescent="0.25">
      <c r="A40" s="1" t="s">
        <v>80</v>
      </c>
      <c r="B40" s="1" t="s">
        <v>81</v>
      </c>
      <c r="C40" s="1" t="str">
        <f t="shared" si="0"/>
        <v>Mar</v>
      </c>
      <c r="D40" s="1" t="s">
        <v>18</v>
      </c>
      <c r="E40" s="1" t="s">
        <v>42</v>
      </c>
      <c r="F40" s="31">
        <v>2509.34</v>
      </c>
      <c r="G40" s="1" t="s">
        <v>11</v>
      </c>
      <c r="H40" s="32">
        <v>7</v>
      </c>
    </row>
    <row r="41" spans="1:8" x14ac:dyDescent="0.25">
      <c r="A41" s="1" t="s">
        <v>82</v>
      </c>
      <c r="B41" s="1" t="s">
        <v>68</v>
      </c>
      <c r="C41" s="1" t="str">
        <f t="shared" si="0"/>
        <v>Mar</v>
      </c>
      <c r="D41" s="1" t="s">
        <v>9</v>
      </c>
      <c r="E41" s="1" t="s">
        <v>14</v>
      </c>
      <c r="F41" s="31">
        <v>4026.29</v>
      </c>
      <c r="G41" s="1" t="s">
        <v>11</v>
      </c>
      <c r="H41" s="32">
        <v>15</v>
      </c>
    </row>
    <row r="42" spans="1:8" x14ac:dyDescent="0.25">
      <c r="A42" s="1" t="s">
        <v>83</v>
      </c>
      <c r="B42" s="2">
        <v>45909</v>
      </c>
      <c r="C42" s="1" t="str">
        <f t="shared" si="0"/>
        <v>Sep</v>
      </c>
      <c r="D42" s="1" t="s">
        <v>30</v>
      </c>
      <c r="E42" s="1" t="s">
        <v>14</v>
      </c>
      <c r="F42" s="31">
        <v>886.53</v>
      </c>
      <c r="G42" s="1" t="s">
        <v>25</v>
      </c>
      <c r="H42" s="32">
        <v>7</v>
      </c>
    </row>
    <row r="43" spans="1:8" x14ac:dyDescent="0.25">
      <c r="A43" s="1" t="s">
        <v>84</v>
      </c>
      <c r="B43" s="1" t="s">
        <v>85</v>
      </c>
      <c r="C43" s="1" t="str">
        <f t="shared" si="0"/>
        <v>Feb</v>
      </c>
      <c r="D43" s="1" t="s">
        <v>18</v>
      </c>
      <c r="E43" s="1" t="s">
        <v>14</v>
      </c>
      <c r="F43" s="31">
        <v>4610.3100000000004</v>
      </c>
      <c r="G43" s="1" t="s">
        <v>15</v>
      </c>
      <c r="H43" s="32">
        <v>15</v>
      </c>
    </row>
    <row r="44" spans="1:8" x14ac:dyDescent="0.25">
      <c r="A44" s="1" t="s">
        <v>86</v>
      </c>
      <c r="B44" s="2">
        <v>45756</v>
      </c>
      <c r="C44" s="1" t="str">
        <f t="shared" si="0"/>
        <v>Apr</v>
      </c>
      <c r="D44" s="1" t="s">
        <v>9</v>
      </c>
      <c r="E44" s="1" t="s">
        <v>14</v>
      </c>
      <c r="F44" s="31">
        <v>1168.8699999999999</v>
      </c>
      <c r="G44" s="1" t="s">
        <v>25</v>
      </c>
      <c r="H44" s="32">
        <v>11</v>
      </c>
    </row>
    <row r="45" spans="1:8" x14ac:dyDescent="0.25">
      <c r="A45" s="1" t="s">
        <v>87</v>
      </c>
      <c r="B45" s="1" t="s">
        <v>88</v>
      </c>
      <c r="C45" s="1" t="str">
        <f t="shared" si="0"/>
        <v>Jul</v>
      </c>
      <c r="D45" s="1" t="s">
        <v>30</v>
      </c>
      <c r="E45" s="1" t="s">
        <v>28</v>
      </c>
      <c r="F45" s="31">
        <v>3303.19</v>
      </c>
      <c r="G45" s="1" t="s">
        <v>11</v>
      </c>
      <c r="H45" s="32">
        <v>10</v>
      </c>
    </row>
    <row r="46" spans="1:8" x14ac:dyDescent="0.25">
      <c r="A46" s="1" t="s">
        <v>89</v>
      </c>
      <c r="B46" s="1" t="s">
        <v>62</v>
      </c>
      <c r="C46" s="1" t="str">
        <f t="shared" si="0"/>
        <v>Mar</v>
      </c>
      <c r="D46" s="1" t="s">
        <v>30</v>
      </c>
      <c r="E46" s="1" t="s">
        <v>28</v>
      </c>
      <c r="F46" s="31">
        <v>2591.67</v>
      </c>
      <c r="G46" s="1" t="s">
        <v>15</v>
      </c>
      <c r="H46" s="32">
        <v>14</v>
      </c>
    </row>
    <row r="47" spans="1:8" x14ac:dyDescent="0.25">
      <c r="A47" s="1" t="s">
        <v>90</v>
      </c>
      <c r="B47" s="1" t="s">
        <v>91</v>
      </c>
      <c r="C47" s="1" t="str">
        <f t="shared" si="0"/>
        <v>Jun</v>
      </c>
      <c r="D47" s="1" t="s">
        <v>20</v>
      </c>
      <c r="E47" s="1" t="s">
        <v>14</v>
      </c>
      <c r="F47" s="31">
        <v>2129.61</v>
      </c>
      <c r="G47" s="1" t="s">
        <v>25</v>
      </c>
      <c r="H47" s="32">
        <v>10</v>
      </c>
    </row>
    <row r="48" spans="1:8" x14ac:dyDescent="0.25">
      <c r="A48" s="1" t="s">
        <v>92</v>
      </c>
      <c r="B48" s="1" t="s">
        <v>93</v>
      </c>
      <c r="C48" s="1" t="str">
        <f t="shared" si="0"/>
        <v>Oct</v>
      </c>
      <c r="D48" s="1" t="s">
        <v>20</v>
      </c>
      <c r="E48" s="1" t="s">
        <v>14</v>
      </c>
      <c r="F48" s="31">
        <v>3929.64</v>
      </c>
      <c r="G48" s="1" t="s">
        <v>25</v>
      </c>
      <c r="H48" s="32">
        <v>11</v>
      </c>
    </row>
    <row r="49" spans="1:8" x14ac:dyDescent="0.25">
      <c r="A49" s="1" t="s">
        <v>94</v>
      </c>
      <c r="B49" s="2">
        <v>45689</v>
      </c>
      <c r="C49" s="1" t="str">
        <f t="shared" si="0"/>
        <v>Feb</v>
      </c>
      <c r="D49" s="1" t="s">
        <v>30</v>
      </c>
      <c r="E49" s="1" t="s">
        <v>28</v>
      </c>
      <c r="F49" s="31">
        <v>3026.39</v>
      </c>
      <c r="G49" s="1" t="s">
        <v>11</v>
      </c>
      <c r="H49" s="32">
        <v>5</v>
      </c>
    </row>
    <row r="50" spans="1:8" x14ac:dyDescent="0.25">
      <c r="A50" s="1" t="s">
        <v>95</v>
      </c>
      <c r="B50" s="1" t="s">
        <v>66</v>
      </c>
      <c r="C50" s="1" t="str">
        <f t="shared" si="0"/>
        <v>May</v>
      </c>
      <c r="D50" s="1" t="s">
        <v>30</v>
      </c>
      <c r="E50" s="1" t="s">
        <v>28</v>
      </c>
      <c r="F50" s="31">
        <v>3962.13</v>
      </c>
      <c r="G50" s="1" t="s">
        <v>25</v>
      </c>
      <c r="H50" s="32">
        <v>13</v>
      </c>
    </row>
    <row r="51" spans="1:8" x14ac:dyDescent="0.25">
      <c r="A51" s="1" t="s">
        <v>96</v>
      </c>
      <c r="B51" s="2">
        <v>45815</v>
      </c>
      <c r="C51" s="1" t="str">
        <f t="shared" si="0"/>
        <v>Jun</v>
      </c>
      <c r="D51" s="1" t="s">
        <v>9</v>
      </c>
      <c r="E51" s="1" t="s">
        <v>14</v>
      </c>
      <c r="F51" s="31">
        <v>1033.32</v>
      </c>
      <c r="G51" s="1" t="s">
        <v>25</v>
      </c>
      <c r="H51" s="32">
        <v>9</v>
      </c>
    </row>
    <row r="52" spans="1:8" x14ac:dyDescent="0.25">
      <c r="A52" s="1" t="s">
        <v>97</v>
      </c>
      <c r="B52" s="2">
        <v>45876</v>
      </c>
      <c r="C52" s="1" t="str">
        <f t="shared" si="0"/>
        <v>Aug</v>
      </c>
      <c r="D52" s="1" t="s">
        <v>30</v>
      </c>
      <c r="E52" s="1" t="s">
        <v>10</v>
      </c>
      <c r="F52" s="31">
        <v>1981.46</v>
      </c>
      <c r="G52" s="1" t="s">
        <v>15</v>
      </c>
      <c r="H52" s="32">
        <v>8</v>
      </c>
    </row>
    <row r="53" spans="1:8" x14ac:dyDescent="0.25">
      <c r="A53" s="1" t="s">
        <v>98</v>
      </c>
      <c r="B53" s="1" t="s">
        <v>99</v>
      </c>
      <c r="C53" s="1" t="str">
        <f t="shared" si="0"/>
        <v>Sep</v>
      </c>
      <c r="D53" s="1" t="s">
        <v>9</v>
      </c>
      <c r="E53" s="1" t="s">
        <v>10</v>
      </c>
      <c r="F53" s="31">
        <v>637.91999999999996</v>
      </c>
      <c r="G53" s="1" t="s">
        <v>11</v>
      </c>
      <c r="H53" s="32">
        <v>9</v>
      </c>
    </row>
    <row r="54" spans="1:8" x14ac:dyDescent="0.25">
      <c r="A54" s="1" t="s">
        <v>100</v>
      </c>
      <c r="B54" s="1" t="s">
        <v>101</v>
      </c>
      <c r="C54" s="1" t="str">
        <f t="shared" si="0"/>
        <v>Jul</v>
      </c>
      <c r="D54" s="1" t="s">
        <v>20</v>
      </c>
      <c r="E54" s="1" t="s">
        <v>14</v>
      </c>
      <c r="F54" s="31">
        <v>3705.08</v>
      </c>
      <c r="G54" s="1" t="s">
        <v>15</v>
      </c>
      <c r="H54" s="32">
        <v>11</v>
      </c>
    </row>
    <row r="55" spans="1:8" x14ac:dyDescent="0.25">
      <c r="A55" s="1" t="s">
        <v>102</v>
      </c>
      <c r="B55" s="1" t="s">
        <v>103</v>
      </c>
      <c r="C55" s="1" t="str">
        <f t="shared" si="0"/>
        <v>Oct</v>
      </c>
      <c r="D55" s="1" t="s">
        <v>30</v>
      </c>
      <c r="E55" s="1" t="s">
        <v>28</v>
      </c>
      <c r="F55" s="31">
        <v>4099.37</v>
      </c>
      <c r="G55" s="1" t="s">
        <v>25</v>
      </c>
      <c r="H55" s="32">
        <v>1</v>
      </c>
    </row>
    <row r="56" spans="1:8" x14ac:dyDescent="0.25">
      <c r="A56" s="1" t="s">
        <v>104</v>
      </c>
      <c r="B56" s="2">
        <v>45850</v>
      </c>
      <c r="C56" s="1" t="str">
        <f t="shared" si="0"/>
        <v>Jul</v>
      </c>
      <c r="D56" s="1" t="s">
        <v>30</v>
      </c>
      <c r="E56" s="1" t="s">
        <v>14</v>
      </c>
      <c r="F56" s="31">
        <v>4263.93</v>
      </c>
      <c r="G56" s="1" t="s">
        <v>15</v>
      </c>
      <c r="H56" s="32">
        <v>6</v>
      </c>
    </row>
    <row r="57" spans="1:8" x14ac:dyDescent="0.25">
      <c r="A57" s="1" t="s">
        <v>105</v>
      </c>
      <c r="B57" s="2">
        <v>45850</v>
      </c>
      <c r="C57" s="1" t="str">
        <f t="shared" si="0"/>
        <v>Jul</v>
      </c>
      <c r="D57" s="1" t="s">
        <v>30</v>
      </c>
      <c r="E57" s="1" t="s">
        <v>42</v>
      </c>
      <c r="F57" s="31">
        <v>1039.33</v>
      </c>
      <c r="G57" s="1" t="s">
        <v>15</v>
      </c>
      <c r="H57" s="32">
        <v>10</v>
      </c>
    </row>
    <row r="58" spans="1:8" x14ac:dyDescent="0.25">
      <c r="A58" s="1" t="s">
        <v>106</v>
      </c>
      <c r="B58" s="1" t="s">
        <v>107</v>
      </c>
      <c r="C58" s="1" t="str">
        <f t="shared" si="0"/>
        <v>Oct</v>
      </c>
      <c r="D58" s="1" t="s">
        <v>18</v>
      </c>
      <c r="E58" s="1" t="s">
        <v>14</v>
      </c>
      <c r="F58" s="31">
        <v>2054.86</v>
      </c>
      <c r="G58" s="1" t="s">
        <v>15</v>
      </c>
      <c r="H58" s="32">
        <v>8</v>
      </c>
    </row>
    <row r="59" spans="1:8" x14ac:dyDescent="0.25">
      <c r="A59" s="1" t="s">
        <v>108</v>
      </c>
      <c r="B59" s="1" t="s">
        <v>109</v>
      </c>
      <c r="C59" s="1" t="str">
        <f t="shared" si="0"/>
        <v>Oct</v>
      </c>
      <c r="D59" s="1" t="s">
        <v>18</v>
      </c>
      <c r="E59" s="1" t="s">
        <v>28</v>
      </c>
      <c r="F59" s="31">
        <v>3988.3</v>
      </c>
      <c r="G59" s="1" t="s">
        <v>15</v>
      </c>
      <c r="H59" s="32">
        <v>12</v>
      </c>
    </row>
    <row r="60" spans="1:8" x14ac:dyDescent="0.25">
      <c r="A60" s="1" t="s">
        <v>110</v>
      </c>
      <c r="B60" s="2">
        <v>45971</v>
      </c>
      <c r="C60" s="1" t="str">
        <f t="shared" si="0"/>
        <v>Nov</v>
      </c>
      <c r="D60" s="1" t="s">
        <v>18</v>
      </c>
      <c r="E60" s="1" t="s">
        <v>42</v>
      </c>
      <c r="F60" s="31">
        <v>1323.63</v>
      </c>
      <c r="G60" s="1" t="s">
        <v>25</v>
      </c>
      <c r="H60" s="32">
        <v>1</v>
      </c>
    </row>
    <row r="61" spans="1:8" x14ac:dyDescent="0.25">
      <c r="A61" s="1" t="s">
        <v>111</v>
      </c>
      <c r="B61" s="1" t="s">
        <v>101</v>
      </c>
      <c r="C61" s="1" t="str">
        <f t="shared" si="0"/>
        <v>Jul</v>
      </c>
      <c r="D61" s="1" t="s">
        <v>9</v>
      </c>
      <c r="E61" s="1" t="s">
        <v>14</v>
      </c>
      <c r="F61" s="31">
        <v>2323.56</v>
      </c>
      <c r="G61" s="1" t="s">
        <v>11</v>
      </c>
      <c r="H61" s="32">
        <v>7</v>
      </c>
    </row>
    <row r="62" spans="1:8" x14ac:dyDescent="0.25">
      <c r="A62" s="1" t="s">
        <v>112</v>
      </c>
      <c r="B62" s="1" t="s">
        <v>113</v>
      </c>
      <c r="C62" s="1" t="str">
        <f t="shared" si="0"/>
        <v>Aug</v>
      </c>
      <c r="D62" s="1" t="s">
        <v>30</v>
      </c>
      <c r="E62" s="1" t="s">
        <v>42</v>
      </c>
      <c r="F62" s="31">
        <v>795.54</v>
      </c>
      <c r="G62" s="1" t="s">
        <v>25</v>
      </c>
      <c r="H62" s="32">
        <v>5</v>
      </c>
    </row>
    <row r="63" spans="1:8" x14ac:dyDescent="0.25">
      <c r="A63" s="1" t="s">
        <v>114</v>
      </c>
      <c r="B63" s="2">
        <v>45968</v>
      </c>
      <c r="C63" s="1" t="str">
        <f t="shared" si="0"/>
        <v>Nov</v>
      </c>
      <c r="D63" s="1" t="s">
        <v>9</v>
      </c>
      <c r="E63" s="1" t="s">
        <v>28</v>
      </c>
      <c r="F63" s="31">
        <v>1341.69</v>
      </c>
      <c r="G63" s="1" t="s">
        <v>25</v>
      </c>
      <c r="H63" s="32">
        <v>1</v>
      </c>
    </row>
    <row r="64" spans="1:8" x14ac:dyDescent="0.25">
      <c r="A64" s="1" t="s">
        <v>115</v>
      </c>
      <c r="B64" s="1" t="s">
        <v>88</v>
      </c>
      <c r="C64" s="1" t="str">
        <f t="shared" si="0"/>
        <v>Jul</v>
      </c>
      <c r="D64" s="1" t="s">
        <v>9</v>
      </c>
      <c r="E64" s="1" t="s">
        <v>14</v>
      </c>
      <c r="F64" s="31">
        <v>4088.73</v>
      </c>
      <c r="G64" s="1" t="s">
        <v>11</v>
      </c>
      <c r="H64" s="32">
        <v>8</v>
      </c>
    </row>
    <row r="65" spans="1:8" x14ac:dyDescent="0.25">
      <c r="A65" s="1" t="s">
        <v>116</v>
      </c>
      <c r="B65" s="1" t="s">
        <v>117</v>
      </c>
      <c r="C65" s="1" t="str">
        <f t="shared" si="0"/>
        <v>Mar</v>
      </c>
      <c r="D65" s="1" t="s">
        <v>9</v>
      </c>
      <c r="E65" s="1" t="s">
        <v>42</v>
      </c>
      <c r="F65" s="31">
        <v>4550.83</v>
      </c>
      <c r="G65" s="1" t="s">
        <v>25</v>
      </c>
      <c r="H65" s="32">
        <v>6</v>
      </c>
    </row>
    <row r="66" spans="1:8" x14ac:dyDescent="0.25">
      <c r="A66" s="1" t="s">
        <v>118</v>
      </c>
      <c r="B66" s="1" t="s">
        <v>119</v>
      </c>
      <c r="C66" s="1" t="str">
        <f t="shared" si="0"/>
        <v>Jul</v>
      </c>
      <c r="D66" s="1" t="s">
        <v>30</v>
      </c>
      <c r="E66" s="1" t="s">
        <v>28</v>
      </c>
      <c r="F66" s="31">
        <v>3214.07</v>
      </c>
      <c r="G66" s="1" t="s">
        <v>25</v>
      </c>
      <c r="H66" s="32">
        <v>5</v>
      </c>
    </row>
    <row r="67" spans="1:8" x14ac:dyDescent="0.25">
      <c r="A67" s="1" t="s">
        <v>120</v>
      </c>
      <c r="B67" s="1" t="s">
        <v>121</v>
      </c>
      <c r="C67" s="1" t="str">
        <f t="shared" ref="C67:C130" si="1">TEXT(B67,"mmm")</f>
        <v>May</v>
      </c>
      <c r="D67" s="1" t="s">
        <v>20</v>
      </c>
      <c r="E67" s="1" t="s">
        <v>42</v>
      </c>
      <c r="F67" s="31">
        <v>1952.14</v>
      </c>
      <c r="G67" s="1" t="s">
        <v>11</v>
      </c>
      <c r="H67" s="32">
        <v>5</v>
      </c>
    </row>
    <row r="68" spans="1:8" x14ac:dyDescent="0.25">
      <c r="A68" s="1" t="s">
        <v>122</v>
      </c>
      <c r="B68" s="1" t="s">
        <v>79</v>
      </c>
      <c r="C68" s="1" t="str">
        <f t="shared" si="1"/>
        <v>Jul</v>
      </c>
      <c r="D68" s="1" t="s">
        <v>30</v>
      </c>
      <c r="E68" s="1" t="s">
        <v>42</v>
      </c>
      <c r="F68" s="31">
        <v>4738.3599999999997</v>
      </c>
      <c r="G68" s="1" t="s">
        <v>25</v>
      </c>
      <c r="H68" s="32">
        <v>11</v>
      </c>
    </row>
    <row r="69" spans="1:8" x14ac:dyDescent="0.25">
      <c r="A69" s="1" t="s">
        <v>123</v>
      </c>
      <c r="B69" s="1" t="s">
        <v>124</v>
      </c>
      <c r="C69" s="1" t="str">
        <f t="shared" si="1"/>
        <v>Mar</v>
      </c>
      <c r="D69" s="1" t="s">
        <v>18</v>
      </c>
      <c r="E69" s="1" t="s">
        <v>14</v>
      </c>
      <c r="F69" s="31">
        <v>1751.89</v>
      </c>
      <c r="G69" s="1" t="s">
        <v>11</v>
      </c>
      <c r="H69" s="32">
        <v>14</v>
      </c>
    </row>
    <row r="70" spans="1:8" x14ac:dyDescent="0.25">
      <c r="A70" s="1" t="s">
        <v>125</v>
      </c>
      <c r="B70" s="1" t="s">
        <v>126</v>
      </c>
      <c r="C70" s="1" t="str">
        <f t="shared" si="1"/>
        <v>Jun</v>
      </c>
      <c r="D70" s="1" t="s">
        <v>30</v>
      </c>
      <c r="E70" s="1" t="s">
        <v>28</v>
      </c>
      <c r="F70" s="31">
        <v>4598.82</v>
      </c>
      <c r="G70" s="1" t="s">
        <v>15</v>
      </c>
      <c r="H70" s="32">
        <v>3</v>
      </c>
    </row>
    <row r="71" spans="1:8" x14ac:dyDescent="0.25">
      <c r="A71" s="1" t="s">
        <v>127</v>
      </c>
      <c r="B71" s="1" t="s">
        <v>128</v>
      </c>
      <c r="C71" s="1" t="str">
        <f t="shared" si="1"/>
        <v>Oct</v>
      </c>
      <c r="D71" s="1" t="s">
        <v>20</v>
      </c>
      <c r="E71" s="1" t="s">
        <v>28</v>
      </c>
      <c r="F71" s="31">
        <v>4971.07</v>
      </c>
      <c r="G71" s="1" t="s">
        <v>11</v>
      </c>
      <c r="H71" s="32">
        <v>12</v>
      </c>
    </row>
    <row r="72" spans="1:8" x14ac:dyDescent="0.25">
      <c r="A72" s="1" t="s">
        <v>129</v>
      </c>
      <c r="B72" s="1" t="s">
        <v>130</v>
      </c>
      <c r="C72" s="1" t="str">
        <f t="shared" si="1"/>
        <v>Mar</v>
      </c>
      <c r="D72" s="1" t="s">
        <v>30</v>
      </c>
      <c r="E72" s="1" t="s">
        <v>14</v>
      </c>
      <c r="F72" s="31">
        <v>4534.43</v>
      </c>
      <c r="G72" s="1" t="s">
        <v>11</v>
      </c>
      <c r="H72" s="32">
        <v>5</v>
      </c>
    </row>
    <row r="73" spans="1:8" x14ac:dyDescent="0.25">
      <c r="A73" s="1" t="s">
        <v>131</v>
      </c>
      <c r="B73" s="1" t="s">
        <v>132</v>
      </c>
      <c r="C73" s="1" t="str">
        <f t="shared" si="1"/>
        <v>Jan</v>
      </c>
      <c r="D73" s="1" t="s">
        <v>9</v>
      </c>
      <c r="E73" s="1" t="s">
        <v>10</v>
      </c>
      <c r="F73" s="31">
        <v>3565.82</v>
      </c>
      <c r="G73" s="1" t="s">
        <v>11</v>
      </c>
      <c r="H73" s="32">
        <v>3</v>
      </c>
    </row>
    <row r="74" spans="1:8" x14ac:dyDescent="0.25">
      <c r="A74" s="1" t="s">
        <v>133</v>
      </c>
      <c r="B74" s="2">
        <v>45938</v>
      </c>
      <c r="C74" s="1" t="str">
        <f t="shared" si="1"/>
        <v>Oct</v>
      </c>
      <c r="D74" s="1" t="s">
        <v>20</v>
      </c>
      <c r="E74" s="1" t="s">
        <v>10</v>
      </c>
      <c r="F74" s="31">
        <v>2062.64</v>
      </c>
      <c r="G74" s="1" t="s">
        <v>11</v>
      </c>
      <c r="H74" s="32">
        <v>5</v>
      </c>
    </row>
    <row r="75" spans="1:8" x14ac:dyDescent="0.25">
      <c r="A75" s="1" t="s">
        <v>134</v>
      </c>
      <c r="B75" s="1" t="s">
        <v>135</v>
      </c>
      <c r="C75" s="1" t="str">
        <f t="shared" si="1"/>
        <v>Sep</v>
      </c>
      <c r="D75" s="1" t="s">
        <v>9</v>
      </c>
      <c r="E75" s="1" t="s">
        <v>42</v>
      </c>
      <c r="F75" s="31">
        <v>1806.08</v>
      </c>
      <c r="G75" s="1" t="s">
        <v>11</v>
      </c>
      <c r="H75" s="32">
        <v>1</v>
      </c>
    </row>
    <row r="76" spans="1:8" x14ac:dyDescent="0.25">
      <c r="A76" s="1" t="s">
        <v>136</v>
      </c>
      <c r="B76" s="1" t="s">
        <v>137</v>
      </c>
      <c r="C76" s="1" t="str">
        <f t="shared" si="1"/>
        <v>Oct</v>
      </c>
      <c r="D76" s="1" t="s">
        <v>20</v>
      </c>
      <c r="E76" s="1" t="s">
        <v>28</v>
      </c>
      <c r="F76" s="31">
        <v>1105.25</v>
      </c>
      <c r="G76" s="1" t="s">
        <v>25</v>
      </c>
      <c r="H76" s="32">
        <v>11</v>
      </c>
    </row>
    <row r="77" spans="1:8" x14ac:dyDescent="0.25">
      <c r="A77" s="1" t="s">
        <v>138</v>
      </c>
      <c r="B77" s="1" t="s">
        <v>139</v>
      </c>
      <c r="C77" s="1" t="str">
        <f t="shared" si="1"/>
        <v>Feb</v>
      </c>
      <c r="D77" s="1" t="s">
        <v>30</v>
      </c>
      <c r="E77" s="1" t="s">
        <v>42</v>
      </c>
      <c r="F77" s="31">
        <v>589.26</v>
      </c>
      <c r="G77" s="1" t="s">
        <v>15</v>
      </c>
      <c r="H77" s="32">
        <v>11</v>
      </c>
    </row>
    <row r="78" spans="1:8" x14ac:dyDescent="0.25">
      <c r="A78" s="1" t="s">
        <v>140</v>
      </c>
      <c r="B78" s="1" t="s">
        <v>128</v>
      </c>
      <c r="C78" s="1" t="str">
        <f t="shared" si="1"/>
        <v>Oct</v>
      </c>
      <c r="D78" s="1" t="s">
        <v>18</v>
      </c>
      <c r="E78" s="1" t="s">
        <v>28</v>
      </c>
      <c r="F78" s="31">
        <v>2259.16</v>
      </c>
      <c r="G78" s="1" t="s">
        <v>11</v>
      </c>
      <c r="H78" s="32">
        <v>4</v>
      </c>
    </row>
    <row r="79" spans="1:8" x14ac:dyDescent="0.25">
      <c r="A79" s="1" t="s">
        <v>141</v>
      </c>
      <c r="B79" s="2">
        <v>45843</v>
      </c>
      <c r="C79" s="1" t="str">
        <f t="shared" si="1"/>
        <v>Jul</v>
      </c>
      <c r="D79" s="1" t="s">
        <v>20</v>
      </c>
      <c r="E79" s="1" t="s">
        <v>14</v>
      </c>
      <c r="F79" s="31">
        <v>3937.08</v>
      </c>
      <c r="G79" s="1" t="s">
        <v>15</v>
      </c>
      <c r="H79" s="32">
        <v>2</v>
      </c>
    </row>
    <row r="80" spans="1:8" x14ac:dyDescent="0.25">
      <c r="A80" s="1" t="s">
        <v>142</v>
      </c>
      <c r="B80" s="1" t="s">
        <v>143</v>
      </c>
      <c r="C80" s="1" t="str">
        <f t="shared" si="1"/>
        <v>Mar</v>
      </c>
      <c r="D80" s="1" t="s">
        <v>9</v>
      </c>
      <c r="E80" s="1" t="s">
        <v>10</v>
      </c>
      <c r="F80" s="31">
        <v>2469.2800000000002</v>
      </c>
      <c r="G80" s="1" t="s">
        <v>25</v>
      </c>
      <c r="H80" s="32">
        <v>5</v>
      </c>
    </row>
    <row r="81" spans="1:8" x14ac:dyDescent="0.25">
      <c r="A81" s="1" t="s">
        <v>144</v>
      </c>
      <c r="B81" s="1" t="s">
        <v>145</v>
      </c>
      <c r="C81" s="1" t="str">
        <f t="shared" si="1"/>
        <v>Dec</v>
      </c>
      <c r="D81" s="1" t="s">
        <v>30</v>
      </c>
      <c r="E81" s="1" t="s">
        <v>14</v>
      </c>
      <c r="F81" s="31">
        <v>1007.14</v>
      </c>
      <c r="G81" s="1" t="s">
        <v>11</v>
      </c>
      <c r="H81" s="32">
        <v>5</v>
      </c>
    </row>
    <row r="82" spans="1:8" x14ac:dyDescent="0.25">
      <c r="A82" s="1" t="s">
        <v>146</v>
      </c>
      <c r="B82" s="2">
        <v>45814</v>
      </c>
      <c r="C82" s="1" t="str">
        <f t="shared" si="1"/>
        <v>Jun</v>
      </c>
      <c r="D82" s="1" t="s">
        <v>18</v>
      </c>
      <c r="E82" s="1" t="s">
        <v>42</v>
      </c>
      <c r="F82" s="31">
        <v>1665.83</v>
      </c>
      <c r="G82" s="1" t="s">
        <v>11</v>
      </c>
      <c r="H82" s="32">
        <v>5</v>
      </c>
    </row>
    <row r="83" spans="1:8" x14ac:dyDescent="0.25">
      <c r="A83" s="1" t="s">
        <v>147</v>
      </c>
      <c r="B83" s="1" t="s">
        <v>148</v>
      </c>
      <c r="C83" s="1" t="str">
        <f t="shared" si="1"/>
        <v>Feb</v>
      </c>
      <c r="D83" s="1" t="s">
        <v>20</v>
      </c>
      <c r="E83" s="1" t="s">
        <v>14</v>
      </c>
      <c r="F83" s="31">
        <v>1151.29</v>
      </c>
      <c r="G83" s="1" t="s">
        <v>15</v>
      </c>
      <c r="H83" s="32">
        <v>3</v>
      </c>
    </row>
    <row r="84" spans="1:8" x14ac:dyDescent="0.25">
      <c r="A84" s="1" t="s">
        <v>149</v>
      </c>
      <c r="B84" s="1" t="s">
        <v>150</v>
      </c>
      <c r="C84" s="1" t="str">
        <f t="shared" si="1"/>
        <v>Aug</v>
      </c>
      <c r="D84" s="1" t="s">
        <v>20</v>
      </c>
      <c r="E84" s="1" t="s">
        <v>42</v>
      </c>
      <c r="F84" s="31">
        <v>4975.71</v>
      </c>
      <c r="G84" s="1" t="s">
        <v>11</v>
      </c>
      <c r="H84" s="32">
        <v>3</v>
      </c>
    </row>
    <row r="85" spans="1:8" x14ac:dyDescent="0.25">
      <c r="A85" s="1" t="s">
        <v>151</v>
      </c>
      <c r="B85" s="1" t="s">
        <v>152</v>
      </c>
      <c r="C85" s="1" t="str">
        <f t="shared" si="1"/>
        <v>Oct</v>
      </c>
      <c r="D85" s="1" t="s">
        <v>20</v>
      </c>
      <c r="E85" s="1" t="s">
        <v>42</v>
      </c>
      <c r="F85" s="31">
        <v>1251.7</v>
      </c>
      <c r="G85" s="1" t="s">
        <v>11</v>
      </c>
      <c r="H85" s="32">
        <v>9</v>
      </c>
    </row>
    <row r="86" spans="1:8" x14ac:dyDescent="0.25">
      <c r="A86" s="1" t="s">
        <v>153</v>
      </c>
      <c r="B86" s="2">
        <v>45996</v>
      </c>
      <c r="C86" s="1" t="str">
        <f t="shared" si="1"/>
        <v>Dec</v>
      </c>
      <c r="D86" s="1" t="s">
        <v>9</v>
      </c>
      <c r="E86" s="1" t="s">
        <v>42</v>
      </c>
      <c r="F86" s="31">
        <v>3886.87</v>
      </c>
      <c r="G86" s="1" t="s">
        <v>11</v>
      </c>
      <c r="H86" s="32">
        <v>14</v>
      </c>
    </row>
    <row r="87" spans="1:8" x14ac:dyDescent="0.25">
      <c r="A87" s="1" t="s">
        <v>154</v>
      </c>
      <c r="B87" s="2">
        <v>45783</v>
      </c>
      <c r="C87" s="1" t="str">
        <f t="shared" si="1"/>
        <v>May</v>
      </c>
      <c r="D87" s="1" t="s">
        <v>20</v>
      </c>
      <c r="E87" s="1" t="s">
        <v>28</v>
      </c>
      <c r="F87" s="31">
        <v>4117.7299999999996</v>
      </c>
      <c r="G87" s="1" t="s">
        <v>15</v>
      </c>
      <c r="H87" s="32">
        <v>6</v>
      </c>
    </row>
    <row r="88" spans="1:8" x14ac:dyDescent="0.25">
      <c r="A88" s="1" t="s">
        <v>155</v>
      </c>
      <c r="B88" s="2">
        <v>45781</v>
      </c>
      <c r="C88" s="1" t="str">
        <f t="shared" si="1"/>
        <v>May</v>
      </c>
      <c r="D88" s="1" t="s">
        <v>20</v>
      </c>
      <c r="E88" s="1" t="s">
        <v>28</v>
      </c>
      <c r="F88" s="31">
        <v>1370.87</v>
      </c>
      <c r="G88" s="1" t="s">
        <v>25</v>
      </c>
      <c r="H88" s="32">
        <v>13</v>
      </c>
    </row>
    <row r="89" spans="1:8" x14ac:dyDescent="0.25">
      <c r="A89" s="1" t="s">
        <v>156</v>
      </c>
      <c r="B89" s="1" t="s">
        <v>157</v>
      </c>
      <c r="C89" s="1" t="str">
        <f t="shared" si="1"/>
        <v>Dec</v>
      </c>
      <c r="D89" s="1" t="s">
        <v>30</v>
      </c>
      <c r="E89" s="1" t="s">
        <v>14</v>
      </c>
      <c r="F89" s="31">
        <v>1360.07</v>
      </c>
      <c r="G89" s="1" t="s">
        <v>25</v>
      </c>
      <c r="H89" s="32">
        <v>6</v>
      </c>
    </row>
    <row r="90" spans="1:8" x14ac:dyDescent="0.25">
      <c r="A90" s="1" t="s">
        <v>158</v>
      </c>
      <c r="B90" s="1" t="s">
        <v>159</v>
      </c>
      <c r="C90" s="1" t="str">
        <f t="shared" si="1"/>
        <v>Jul</v>
      </c>
      <c r="D90" s="1" t="s">
        <v>30</v>
      </c>
      <c r="E90" s="1" t="s">
        <v>28</v>
      </c>
      <c r="F90" s="31">
        <v>1985.04</v>
      </c>
      <c r="G90" s="1" t="s">
        <v>25</v>
      </c>
      <c r="H90" s="32">
        <v>8</v>
      </c>
    </row>
    <row r="91" spans="1:8" x14ac:dyDescent="0.25">
      <c r="A91" s="1" t="s">
        <v>160</v>
      </c>
      <c r="B91" s="1" t="s">
        <v>101</v>
      </c>
      <c r="C91" s="1" t="str">
        <f t="shared" si="1"/>
        <v>Jul</v>
      </c>
      <c r="D91" s="1" t="s">
        <v>18</v>
      </c>
      <c r="E91" s="1" t="s">
        <v>42</v>
      </c>
      <c r="F91" s="31">
        <v>3737.17</v>
      </c>
      <c r="G91" s="1" t="s">
        <v>11</v>
      </c>
      <c r="H91" s="32">
        <v>13</v>
      </c>
    </row>
    <row r="92" spans="1:8" x14ac:dyDescent="0.25">
      <c r="A92" s="1" t="s">
        <v>161</v>
      </c>
      <c r="B92" s="2">
        <v>45724</v>
      </c>
      <c r="C92" s="1" t="str">
        <f t="shared" si="1"/>
        <v>Mar</v>
      </c>
      <c r="D92" s="1" t="s">
        <v>30</v>
      </c>
      <c r="E92" s="1" t="s">
        <v>10</v>
      </c>
      <c r="F92" s="31">
        <v>2822.52</v>
      </c>
      <c r="G92" s="1" t="s">
        <v>15</v>
      </c>
      <c r="H92" s="32">
        <v>2</v>
      </c>
    </row>
    <row r="93" spans="1:8" x14ac:dyDescent="0.25">
      <c r="A93" s="1" t="s">
        <v>162</v>
      </c>
      <c r="B93" s="2">
        <v>45870</v>
      </c>
      <c r="C93" s="1" t="str">
        <f t="shared" si="1"/>
        <v>Aug</v>
      </c>
      <c r="D93" s="1" t="s">
        <v>18</v>
      </c>
      <c r="E93" s="1" t="s">
        <v>14</v>
      </c>
      <c r="F93" s="31">
        <v>1085.21</v>
      </c>
      <c r="G93" s="1" t="s">
        <v>25</v>
      </c>
      <c r="H93" s="32">
        <v>3</v>
      </c>
    </row>
    <row r="94" spans="1:8" x14ac:dyDescent="0.25">
      <c r="A94" s="1" t="s">
        <v>163</v>
      </c>
      <c r="B94" s="1" t="s">
        <v>164</v>
      </c>
      <c r="C94" s="1" t="str">
        <f t="shared" si="1"/>
        <v>Oct</v>
      </c>
      <c r="D94" s="1" t="s">
        <v>18</v>
      </c>
      <c r="E94" s="1" t="s">
        <v>42</v>
      </c>
      <c r="F94" s="31">
        <v>1675.66</v>
      </c>
      <c r="G94" s="1" t="s">
        <v>15</v>
      </c>
      <c r="H94" s="32">
        <v>12</v>
      </c>
    </row>
    <row r="95" spans="1:8" x14ac:dyDescent="0.25">
      <c r="A95" s="1" t="s">
        <v>165</v>
      </c>
      <c r="B95" s="1" t="s">
        <v>166</v>
      </c>
      <c r="C95" s="1" t="str">
        <f t="shared" si="1"/>
        <v>Jun</v>
      </c>
      <c r="D95" s="1" t="s">
        <v>9</v>
      </c>
      <c r="E95" s="1" t="s">
        <v>10</v>
      </c>
      <c r="F95" s="31">
        <v>4749.6400000000003</v>
      </c>
      <c r="G95" s="1" t="s">
        <v>25</v>
      </c>
      <c r="H95" s="32">
        <v>6</v>
      </c>
    </row>
    <row r="96" spans="1:8" x14ac:dyDescent="0.25">
      <c r="A96" s="1" t="s">
        <v>167</v>
      </c>
      <c r="B96" s="1" t="s">
        <v>46</v>
      </c>
      <c r="C96" s="1" t="str">
        <f t="shared" si="1"/>
        <v>Dec</v>
      </c>
      <c r="D96" s="1" t="s">
        <v>20</v>
      </c>
      <c r="E96" s="1" t="s">
        <v>10</v>
      </c>
      <c r="F96" s="31">
        <v>3574.77</v>
      </c>
      <c r="G96" s="1" t="s">
        <v>15</v>
      </c>
      <c r="H96" s="32">
        <v>14</v>
      </c>
    </row>
    <row r="97" spans="1:8" x14ac:dyDescent="0.25">
      <c r="A97" s="1" t="s">
        <v>168</v>
      </c>
      <c r="B97" s="2">
        <v>45973</v>
      </c>
      <c r="C97" s="1" t="str">
        <f t="shared" si="1"/>
        <v>Nov</v>
      </c>
      <c r="D97" s="1" t="s">
        <v>30</v>
      </c>
      <c r="E97" s="1" t="s">
        <v>42</v>
      </c>
      <c r="F97" s="31">
        <v>3395.89</v>
      </c>
      <c r="G97" s="1" t="s">
        <v>11</v>
      </c>
      <c r="H97" s="32">
        <v>13</v>
      </c>
    </row>
    <row r="98" spans="1:8" x14ac:dyDescent="0.25">
      <c r="A98" s="1" t="s">
        <v>169</v>
      </c>
      <c r="B98" s="1" t="s">
        <v>170</v>
      </c>
      <c r="C98" s="1" t="str">
        <f t="shared" si="1"/>
        <v>Dec</v>
      </c>
      <c r="D98" s="1" t="s">
        <v>20</v>
      </c>
      <c r="E98" s="1" t="s">
        <v>14</v>
      </c>
      <c r="F98" s="31">
        <v>3185.08</v>
      </c>
      <c r="G98" s="1" t="s">
        <v>25</v>
      </c>
      <c r="H98" s="32">
        <v>5</v>
      </c>
    </row>
    <row r="99" spans="1:8" x14ac:dyDescent="0.25">
      <c r="A99" s="1" t="s">
        <v>171</v>
      </c>
      <c r="B99" s="1" t="s">
        <v>172</v>
      </c>
      <c r="C99" s="1" t="str">
        <f t="shared" si="1"/>
        <v>Sep</v>
      </c>
      <c r="D99" s="1" t="s">
        <v>9</v>
      </c>
      <c r="E99" s="1" t="s">
        <v>10</v>
      </c>
      <c r="F99" s="31">
        <v>3750.82</v>
      </c>
      <c r="G99" s="1" t="s">
        <v>11</v>
      </c>
      <c r="H99" s="32">
        <v>3</v>
      </c>
    </row>
    <row r="100" spans="1:8" x14ac:dyDescent="0.25">
      <c r="A100" s="1" t="s">
        <v>173</v>
      </c>
      <c r="B100" s="1" t="s">
        <v>174</v>
      </c>
      <c r="C100" s="1" t="str">
        <f t="shared" si="1"/>
        <v>Sep</v>
      </c>
      <c r="D100" s="1" t="s">
        <v>30</v>
      </c>
      <c r="E100" s="1" t="s">
        <v>10</v>
      </c>
      <c r="F100" s="31">
        <v>2588.23</v>
      </c>
      <c r="G100" s="1" t="s">
        <v>15</v>
      </c>
      <c r="H100" s="32">
        <v>14</v>
      </c>
    </row>
    <row r="101" spans="1:8" x14ac:dyDescent="0.25">
      <c r="A101" s="1" t="s">
        <v>175</v>
      </c>
      <c r="B101" s="1" t="s">
        <v>176</v>
      </c>
      <c r="C101" s="1" t="str">
        <f t="shared" si="1"/>
        <v>Apr</v>
      </c>
      <c r="D101" s="1" t="s">
        <v>20</v>
      </c>
      <c r="E101" s="1" t="s">
        <v>10</v>
      </c>
      <c r="F101" s="31">
        <v>1432.66</v>
      </c>
      <c r="G101" s="1" t="s">
        <v>25</v>
      </c>
      <c r="H101" s="32">
        <v>3</v>
      </c>
    </row>
    <row r="102" spans="1:8" x14ac:dyDescent="0.25">
      <c r="A102" s="1" t="s">
        <v>177</v>
      </c>
      <c r="B102" s="2">
        <v>45839</v>
      </c>
      <c r="C102" s="1" t="str">
        <f t="shared" si="1"/>
        <v>Jul</v>
      </c>
      <c r="D102" s="1" t="s">
        <v>30</v>
      </c>
      <c r="E102" s="1" t="s">
        <v>28</v>
      </c>
      <c r="F102" s="31">
        <v>2423.3000000000002</v>
      </c>
      <c r="G102" s="1" t="s">
        <v>11</v>
      </c>
      <c r="H102" s="32">
        <v>4</v>
      </c>
    </row>
    <row r="103" spans="1:8" x14ac:dyDescent="0.25">
      <c r="A103" s="1" t="s">
        <v>178</v>
      </c>
      <c r="B103" s="1" t="s">
        <v>179</v>
      </c>
      <c r="C103" s="1" t="str">
        <f t="shared" si="1"/>
        <v>Sep</v>
      </c>
      <c r="D103" s="1" t="s">
        <v>18</v>
      </c>
      <c r="E103" s="1" t="s">
        <v>14</v>
      </c>
      <c r="F103" s="31">
        <v>2721.25</v>
      </c>
      <c r="G103" s="1" t="s">
        <v>11</v>
      </c>
      <c r="H103" s="32">
        <v>5</v>
      </c>
    </row>
    <row r="104" spans="1:8" x14ac:dyDescent="0.25">
      <c r="A104" s="1" t="s">
        <v>180</v>
      </c>
      <c r="B104" s="1" t="s">
        <v>172</v>
      </c>
      <c r="C104" s="1" t="str">
        <f t="shared" si="1"/>
        <v>Sep</v>
      </c>
      <c r="D104" s="1" t="s">
        <v>30</v>
      </c>
      <c r="E104" s="1" t="s">
        <v>42</v>
      </c>
      <c r="F104" s="31">
        <v>2910.32</v>
      </c>
      <c r="G104" s="1" t="s">
        <v>25</v>
      </c>
      <c r="H104" s="32">
        <v>3</v>
      </c>
    </row>
    <row r="105" spans="1:8" x14ac:dyDescent="0.25">
      <c r="A105" s="1" t="s">
        <v>181</v>
      </c>
      <c r="B105" s="2">
        <v>46002</v>
      </c>
      <c r="C105" s="1" t="str">
        <f t="shared" si="1"/>
        <v>Dec</v>
      </c>
      <c r="D105" s="1" t="s">
        <v>30</v>
      </c>
      <c r="E105" s="1" t="s">
        <v>14</v>
      </c>
      <c r="F105" s="31">
        <v>3372.8</v>
      </c>
      <c r="G105" s="1" t="s">
        <v>15</v>
      </c>
      <c r="H105" s="32">
        <v>14</v>
      </c>
    </row>
    <row r="106" spans="1:8" x14ac:dyDescent="0.25">
      <c r="A106" s="1" t="s">
        <v>182</v>
      </c>
      <c r="B106" s="1" t="s">
        <v>130</v>
      </c>
      <c r="C106" s="1" t="str">
        <f t="shared" si="1"/>
        <v>Mar</v>
      </c>
      <c r="D106" s="1" t="s">
        <v>30</v>
      </c>
      <c r="E106" s="1" t="s">
        <v>28</v>
      </c>
      <c r="F106" s="31">
        <v>2731.05</v>
      </c>
      <c r="G106" s="1" t="s">
        <v>11</v>
      </c>
      <c r="H106" s="32">
        <v>14</v>
      </c>
    </row>
    <row r="107" spans="1:8" x14ac:dyDescent="0.25">
      <c r="A107" s="1" t="s">
        <v>183</v>
      </c>
      <c r="B107" s="2">
        <v>45691</v>
      </c>
      <c r="C107" s="1" t="str">
        <f t="shared" si="1"/>
        <v>Feb</v>
      </c>
      <c r="D107" s="1" t="s">
        <v>18</v>
      </c>
      <c r="E107" s="1" t="s">
        <v>10</v>
      </c>
      <c r="F107" s="31">
        <v>860.01</v>
      </c>
      <c r="G107" s="1" t="s">
        <v>15</v>
      </c>
      <c r="H107" s="32">
        <v>8</v>
      </c>
    </row>
    <row r="108" spans="1:8" x14ac:dyDescent="0.25">
      <c r="A108" s="1" t="s">
        <v>184</v>
      </c>
      <c r="B108" s="1" t="s">
        <v>185</v>
      </c>
      <c r="C108" s="1" t="str">
        <f t="shared" si="1"/>
        <v>Mar</v>
      </c>
      <c r="D108" s="1" t="s">
        <v>9</v>
      </c>
      <c r="E108" s="1" t="s">
        <v>14</v>
      </c>
      <c r="F108" s="31">
        <v>3567.49</v>
      </c>
      <c r="G108" s="1" t="s">
        <v>11</v>
      </c>
      <c r="H108" s="32">
        <v>11</v>
      </c>
    </row>
    <row r="109" spans="1:8" x14ac:dyDescent="0.25">
      <c r="A109" s="1" t="s">
        <v>186</v>
      </c>
      <c r="B109" s="2">
        <v>45757</v>
      </c>
      <c r="C109" s="1" t="str">
        <f t="shared" si="1"/>
        <v>Apr</v>
      </c>
      <c r="D109" s="1" t="s">
        <v>30</v>
      </c>
      <c r="E109" s="1" t="s">
        <v>42</v>
      </c>
      <c r="F109" s="31">
        <v>1041.99</v>
      </c>
      <c r="G109" s="1" t="s">
        <v>15</v>
      </c>
      <c r="H109" s="32">
        <v>7</v>
      </c>
    </row>
    <row r="110" spans="1:8" x14ac:dyDescent="0.25">
      <c r="A110" s="1" t="s">
        <v>187</v>
      </c>
      <c r="B110" s="1" t="s">
        <v>188</v>
      </c>
      <c r="C110" s="1" t="str">
        <f t="shared" si="1"/>
        <v>Mar</v>
      </c>
      <c r="D110" s="1" t="s">
        <v>20</v>
      </c>
      <c r="E110" s="1" t="s">
        <v>42</v>
      </c>
      <c r="F110" s="31">
        <v>2278.46</v>
      </c>
      <c r="G110" s="1" t="s">
        <v>11</v>
      </c>
      <c r="H110" s="32">
        <v>13</v>
      </c>
    </row>
    <row r="111" spans="1:8" x14ac:dyDescent="0.25">
      <c r="A111" s="1" t="s">
        <v>189</v>
      </c>
      <c r="B111" s="1" t="s">
        <v>190</v>
      </c>
      <c r="C111" s="1" t="str">
        <f t="shared" si="1"/>
        <v>Apr</v>
      </c>
      <c r="D111" s="1" t="s">
        <v>30</v>
      </c>
      <c r="E111" s="1" t="s">
        <v>28</v>
      </c>
      <c r="F111" s="31">
        <v>3341.62</v>
      </c>
      <c r="G111" s="1" t="s">
        <v>15</v>
      </c>
      <c r="H111" s="32">
        <v>5</v>
      </c>
    </row>
    <row r="112" spans="1:8" x14ac:dyDescent="0.25">
      <c r="A112" s="1" t="s">
        <v>191</v>
      </c>
      <c r="B112" s="1" t="s">
        <v>192</v>
      </c>
      <c r="C112" s="1" t="str">
        <f t="shared" si="1"/>
        <v>Dec</v>
      </c>
      <c r="D112" s="1" t="s">
        <v>9</v>
      </c>
      <c r="E112" s="1" t="s">
        <v>28</v>
      </c>
      <c r="F112" s="31">
        <v>2582.84</v>
      </c>
      <c r="G112" s="1" t="s">
        <v>15</v>
      </c>
      <c r="H112" s="32">
        <v>7</v>
      </c>
    </row>
    <row r="113" spans="1:8" x14ac:dyDescent="0.25">
      <c r="A113" s="1" t="s">
        <v>193</v>
      </c>
      <c r="B113" s="1" t="s">
        <v>27</v>
      </c>
      <c r="C113" s="1" t="str">
        <f t="shared" si="1"/>
        <v>Oct</v>
      </c>
      <c r="D113" s="1" t="s">
        <v>9</v>
      </c>
      <c r="E113" s="1" t="s">
        <v>42</v>
      </c>
      <c r="F113" s="31">
        <v>3835.71</v>
      </c>
      <c r="G113" s="1" t="s">
        <v>11</v>
      </c>
      <c r="H113" s="32">
        <v>11</v>
      </c>
    </row>
    <row r="114" spans="1:8" x14ac:dyDescent="0.25">
      <c r="A114" s="1" t="s">
        <v>194</v>
      </c>
      <c r="B114" s="2">
        <v>45810</v>
      </c>
      <c r="C114" s="1" t="str">
        <f t="shared" si="1"/>
        <v>Jun</v>
      </c>
      <c r="D114" s="1" t="s">
        <v>9</v>
      </c>
      <c r="E114" s="1" t="s">
        <v>42</v>
      </c>
      <c r="F114" s="31">
        <v>4732.1899999999996</v>
      </c>
      <c r="G114" s="1" t="s">
        <v>15</v>
      </c>
      <c r="H114" s="32">
        <v>6</v>
      </c>
    </row>
    <row r="115" spans="1:8" x14ac:dyDescent="0.25">
      <c r="A115" s="1" t="s">
        <v>195</v>
      </c>
      <c r="B115" s="2">
        <v>45814</v>
      </c>
      <c r="C115" s="1" t="str">
        <f t="shared" si="1"/>
        <v>Jun</v>
      </c>
      <c r="D115" s="1" t="s">
        <v>9</v>
      </c>
      <c r="E115" s="1" t="s">
        <v>42</v>
      </c>
      <c r="F115" s="31">
        <v>2071.36</v>
      </c>
      <c r="G115" s="1" t="s">
        <v>25</v>
      </c>
      <c r="H115" s="32">
        <v>3</v>
      </c>
    </row>
    <row r="116" spans="1:8" x14ac:dyDescent="0.25">
      <c r="A116" s="1" t="s">
        <v>196</v>
      </c>
      <c r="B116" s="1" t="s">
        <v>197</v>
      </c>
      <c r="C116" s="1" t="str">
        <f t="shared" si="1"/>
        <v>Feb</v>
      </c>
      <c r="D116" s="1" t="s">
        <v>9</v>
      </c>
      <c r="E116" s="1" t="s">
        <v>10</v>
      </c>
      <c r="F116" s="31">
        <v>4910.83</v>
      </c>
      <c r="G116" s="1" t="s">
        <v>11</v>
      </c>
      <c r="H116" s="32">
        <v>8</v>
      </c>
    </row>
    <row r="117" spans="1:8" x14ac:dyDescent="0.25">
      <c r="A117" s="1" t="s">
        <v>198</v>
      </c>
      <c r="B117" s="2">
        <v>45910</v>
      </c>
      <c r="C117" s="1" t="str">
        <f t="shared" si="1"/>
        <v>Sep</v>
      </c>
      <c r="D117" s="1" t="s">
        <v>30</v>
      </c>
      <c r="E117" s="1" t="s">
        <v>14</v>
      </c>
      <c r="F117" s="31">
        <v>2218.41</v>
      </c>
      <c r="G117" s="1" t="s">
        <v>25</v>
      </c>
      <c r="H117" s="32">
        <v>15</v>
      </c>
    </row>
    <row r="118" spans="1:8" x14ac:dyDescent="0.25">
      <c r="A118" s="1" t="s">
        <v>199</v>
      </c>
      <c r="B118" s="1" t="s">
        <v>159</v>
      </c>
      <c r="C118" s="1" t="str">
        <f t="shared" si="1"/>
        <v>Jul</v>
      </c>
      <c r="D118" s="1" t="s">
        <v>20</v>
      </c>
      <c r="E118" s="1" t="s">
        <v>28</v>
      </c>
      <c r="F118" s="31">
        <v>2506.42</v>
      </c>
      <c r="G118" s="1" t="s">
        <v>11</v>
      </c>
      <c r="H118" s="32">
        <v>8</v>
      </c>
    </row>
    <row r="119" spans="1:8" x14ac:dyDescent="0.25">
      <c r="A119" s="1" t="s">
        <v>200</v>
      </c>
      <c r="B119" s="1" t="s">
        <v>201</v>
      </c>
      <c r="C119" s="1" t="str">
        <f t="shared" si="1"/>
        <v>May</v>
      </c>
      <c r="D119" s="1" t="s">
        <v>30</v>
      </c>
      <c r="E119" s="1" t="s">
        <v>10</v>
      </c>
      <c r="F119" s="31">
        <v>2837.12</v>
      </c>
      <c r="G119" s="1" t="s">
        <v>15</v>
      </c>
      <c r="H119" s="32">
        <v>12</v>
      </c>
    </row>
    <row r="120" spans="1:8" x14ac:dyDescent="0.25">
      <c r="A120" s="1" t="s">
        <v>202</v>
      </c>
      <c r="B120" s="2">
        <v>45785</v>
      </c>
      <c r="C120" s="1" t="str">
        <f t="shared" si="1"/>
        <v>May</v>
      </c>
      <c r="D120" s="1" t="s">
        <v>18</v>
      </c>
      <c r="E120" s="1" t="s">
        <v>42</v>
      </c>
      <c r="F120" s="31">
        <v>4030.8</v>
      </c>
      <c r="G120" s="1" t="s">
        <v>25</v>
      </c>
      <c r="H120" s="32">
        <v>10</v>
      </c>
    </row>
    <row r="121" spans="1:8" x14ac:dyDescent="0.25">
      <c r="A121" s="1" t="s">
        <v>203</v>
      </c>
      <c r="B121" s="1" t="s">
        <v>109</v>
      </c>
      <c r="C121" s="1" t="str">
        <f t="shared" si="1"/>
        <v>Oct</v>
      </c>
      <c r="D121" s="1" t="s">
        <v>9</v>
      </c>
      <c r="E121" s="1" t="s">
        <v>28</v>
      </c>
      <c r="F121" s="31">
        <v>632.63</v>
      </c>
      <c r="G121" s="1" t="s">
        <v>25</v>
      </c>
      <c r="H121" s="32">
        <v>10</v>
      </c>
    </row>
    <row r="122" spans="1:8" x14ac:dyDescent="0.25">
      <c r="A122" s="1" t="s">
        <v>204</v>
      </c>
      <c r="B122" s="2">
        <v>45964</v>
      </c>
      <c r="C122" s="1" t="str">
        <f t="shared" si="1"/>
        <v>Nov</v>
      </c>
      <c r="D122" s="1" t="s">
        <v>20</v>
      </c>
      <c r="E122" s="1" t="s">
        <v>10</v>
      </c>
      <c r="F122" s="31">
        <v>4732.12</v>
      </c>
      <c r="G122" s="1" t="s">
        <v>15</v>
      </c>
      <c r="H122" s="32">
        <v>7</v>
      </c>
    </row>
    <row r="123" spans="1:8" x14ac:dyDescent="0.25">
      <c r="A123" s="1" t="s">
        <v>205</v>
      </c>
      <c r="B123" s="1" t="s">
        <v>101</v>
      </c>
      <c r="C123" s="1" t="str">
        <f t="shared" si="1"/>
        <v>Jul</v>
      </c>
      <c r="D123" s="1" t="s">
        <v>30</v>
      </c>
      <c r="E123" s="1" t="s">
        <v>14</v>
      </c>
      <c r="F123" s="31">
        <v>2958.78</v>
      </c>
      <c r="G123" s="1" t="s">
        <v>11</v>
      </c>
      <c r="H123" s="32">
        <v>14</v>
      </c>
    </row>
    <row r="124" spans="1:8" x14ac:dyDescent="0.25">
      <c r="A124" s="1" t="s">
        <v>206</v>
      </c>
      <c r="B124" s="2">
        <v>45968</v>
      </c>
      <c r="C124" s="1" t="str">
        <f t="shared" si="1"/>
        <v>Nov</v>
      </c>
      <c r="D124" s="1" t="s">
        <v>9</v>
      </c>
      <c r="E124" s="1" t="s">
        <v>42</v>
      </c>
      <c r="F124" s="31">
        <v>3215.67</v>
      </c>
      <c r="G124" s="1" t="s">
        <v>25</v>
      </c>
      <c r="H124" s="32">
        <v>15</v>
      </c>
    </row>
    <row r="125" spans="1:8" x14ac:dyDescent="0.25">
      <c r="A125" s="1" t="s">
        <v>207</v>
      </c>
      <c r="B125" s="1" t="s">
        <v>119</v>
      </c>
      <c r="C125" s="1" t="str">
        <f t="shared" si="1"/>
        <v>Jul</v>
      </c>
      <c r="D125" s="1" t="s">
        <v>30</v>
      </c>
      <c r="E125" s="1" t="s">
        <v>10</v>
      </c>
      <c r="F125" s="31">
        <v>2116.8000000000002</v>
      </c>
      <c r="G125" s="1" t="s">
        <v>25</v>
      </c>
      <c r="H125" s="32">
        <v>11</v>
      </c>
    </row>
    <row r="126" spans="1:8" x14ac:dyDescent="0.25">
      <c r="A126" s="1" t="s">
        <v>208</v>
      </c>
      <c r="B126" s="1" t="s">
        <v>79</v>
      </c>
      <c r="C126" s="1" t="str">
        <f t="shared" si="1"/>
        <v>Jul</v>
      </c>
      <c r="D126" s="1" t="s">
        <v>30</v>
      </c>
      <c r="E126" s="1" t="s">
        <v>28</v>
      </c>
      <c r="F126" s="31">
        <v>2535.58</v>
      </c>
      <c r="G126" s="1" t="s">
        <v>11</v>
      </c>
      <c r="H126" s="32">
        <v>13</v>
      </c>
    </row>
    <row r="127" spans="1:8" x14ac:dyDescent="0.25">
      <c r="A127" s="1" t="s">
        <v>209</v>
      </c>
      <c r="B127" s="1" t="s">
        <v>210</v>
      </c>
      <c r="C127" s="1" t="str">
        <f t="shared" si="1"/>
        <v>Jul</v>
      </c>
      <c r="D127" s="1" t="s">
        <v>30</v>
      </c>
      <c r="E127" s="1" t="s">
        <v>42</v>
      </c>
      <c r="F127" s="31">
        <v>3754.94</v>
      </c>
      <c r="G127" s="1" t="s">
        <v>15</v>
      </c>
      <c r="H127" s="32">
        <v>7</v>
      </c>
    </row>
    <row r="128" spans="1:8" x14ac:dyDescent="0.25">
      <c r="A128" s="1" t="s">
        <v>211</v>
      </c>
      <c r="B128" s="1" t="s">
        <v>212</v>
      </c>
      <c r="C128" s="1" t="str">
        <f t="shared" si="1"/>
        <v>Dec</v>
      </c>
      <c r="D128" s="1" t="s">
        <v>30</v>
      </c>
      <c r="E128" s="1" t="s">
        <v>28</v>
      </c>
      <c r="F128" s="31">
        <v>2845.76</v>
      </c>
      <c r="G128" s="1" t="s">
        <v>11</v>
      </c>
      <c r="H128" s="32">
        <v>3</v>
      </c>
    </row>
    <row r="129" spans="1:8" x14ac:dyDescent="0.25">
      <c r="A129" s="1" t="s">
        <v>213</v>
      </c>
      <c r="B129" s="1" t="s">
        <v>214</v>
      </c>
      <c r="C129" s="1" t="str">
        <f t="shared" si="1"/>
        <v>Mar</v>
      </c>
      <c r="D129" s="1" t="s">
        <v>9</v>
      </c>
      <c r="E129" s="1" t="s">
        <v>42</v>
      </c>
      <c r="F129" s="31">
        <v>3613.06</v>
      </c>
      <c r="G129" s="1" t="s">
        <v>25</v>
      </c>
      <c r="H129" s="32">
        <v>10</v>
      </c>
    </row>
    <row r="130" spans="1:8" x14ac:dyDescent="0.25">
      <c r="A130" s="1" t="s">
        <v>215</v>
      </c>
      <c r="B130" s="1" t="s">
        <v>212</v>
      </c>
      <c r="C130" s="1" t="str">
        <f t="shared" si="1"/>
        <v>Dec</v>
      </c>
      <c r="D130" s="1" t="s">
        <v>30</v>
      </c>
      <c r="E130" s="1" t="s">
        <v>28</v>
      </c>
      <c r="F130" s="31">
        <v>999.64</v>
      </c>
      <c r="G130" s="1" t="s">
        <v>11</v>
      </c>
      <c r="H130" s="32">
        <v>2</v>
      </c>
    </row>
    <row r="131" spans="1:8" x14ac:dyDescent="0.25">
      <c r="A131" s="1" t="s">
        <v>216</v>
      </c>
      <c r="B131" s="1" t="s">
        <v>217</v>
      </c>
      <c r="C131" s="1" t="str">
        <f t="shared" ref="C131:C194" si="2">TEXT(B131,"mmm")</f>
        <v>Sep</v>
      </c>
      <c r="D131" s="1" t="s">
        <v>9</v>
      </c>
      <c r="E131" s="1" t="s">
        <v>14</v>
      </c>
      <c r="F131" s="31">
        <v>1926.72</v>
      </c>
      <c r="G131" s="1" t="s">
        <v>25</v>
      </c>
      <c r="H131" s="32">
        <v>13</v>
      </c>
    </row>
    <row r="132" spans="1:8" x14ac:dyDescent="0.25">
      <c r="A132" s="1" t="s">
        <v>218</v>
      </c>
      <c r="B132" s="2">
        <v>45872</v>
      </c>
      <c r="C132" s="1" t="str">
        <f t="shared" si="2"/>
        <v>Aug</v>
      </c>
      <c r="D132" s="1" t="s">
        <v>30</v>
      </c>
      <c r="E132" s="1" t="s">
        <v>28</v>
      </c>
      <c r="F132" s="31">
        <v>782.34</v>
      </c>
      <c r="G132" s="1" t="s">
        <v>15</v>
      </c>
      <c r="H132" s="32">
        <v>7</v>
      </c>
    </row>
    <row r="133" spans="1:8" x14ac:dyDescent="0.25">
      <c r="A133" s="1" t="s">
        <v>219</v>
      </c>
      <c r="B133" s="2">
        <v>45718</v>
      </c>
      <c r="C133" s="1" t="str">
        <f t="shared" si="2"/>
        <v>Mar</v>
      </c>
      <c r="D133" s="1" t="s">
        <v>9</v>
      </c>
      <c r="E133" s="1" t="s">
        <v>28</v>
      </c>
      <c r="F133" s="31">
        <v>1690.85</v>
      </c>
      <c r="G133" s="1" t="s">
        <v>11</v>
      </c>
      <c r="H133" s="32">
        <v>1</v>
      </c>
    </row>
    <row r="134" spans="1:8" x14ac:dyDescent="0.25">
      <c r="A134" s="1" t="s">
        <v>220</v>
      </c>
      <c r="B134" s="1" t="s">
        <v>41</v>
      </c>
      <c r="C134" s="1" t="str">
        <f t="shared" si="2"/>
        <v>Aug</v>
      </c>
      <c r="D134" s="1" t="s">
        <v>9</v>
      </c>
      <c r="E134" s="1" t="s">
        <v>10</v>
      </c>
      <c r="F134" s="31">
        <v>847.74</v>
      </c>
      <c r="G134" s="1" t="s">
        <v>15</v>
      </c>
      <c r="H134" s="32">
        <v>4</v>
      </c>
    </row>
    <row r="135" spans="1:8" x14ac:dyDescent="0.25">
      <c r="A135" s="1" t="s">
        <v>221</v>
      </c>
      <c r="B135" s="2">
        <v>45786</v>
      </c>
      <c r="C135" s="1" t="str">
        <f t="shared" si="2"/>
        <v>May</v>
      </c>
      <c r="D135" s="1" t="s">
        <v>18</v>
      </c>
      <c r="E135" s="1" t="s">
        <v>10</v>
      </c>
      <c r="F135" s="31">
        <v>1216.83</v>
      </c>
      <c r="G135" s="1" t="s">
        <v>15</v>
      </c>
      <c r="H135" s="32">
        <v>6</v>
      </c>
    </row>
    <row r="136" spans="1:8" x14ac:dyDescent="0.25">
      <c r="A136" s="1" t="s">
        <v>222</v>
      </c>
      <c r="B136" s="1" t="s">
        <v>223</v>
      </c>
      <c r="C136" s="1" t="str">
        <f t="shared" si="2"/>
        <v>Jul</v>
      </c>
      <c r="D136" s="1" t="s">
        <v>20</v>
      </c>
      <c r="E136" s="1" t="s">
        <v>10</v>
      </c>
      <c r="F136" s="31">
        <v>2661.41</v>
      </c>
      <c r="G136" s="1" t="s">
        <v>15</v>
      </c>
      <c r="H136" s="32">
        <v>5</v>
      </c>
    </row>
    <row r="137" spans="1:8" x14ac:dyDescent="0.25">
      <c r="A137" s="1" t="s">
        <v>224</v>
      </c>
      <c r="B137" s="2">
        <v>45813</v>
      </c>
      <c r="C137" s="1" t="str">
        <f t="shared" si="2"/>
        <v>Jun</v>
      </c>
      <c r="D137" s="1" t="s">
        <v>9</v>
      </c>
      <c r="E137" s="1" t="s">
        <v>42</v>
      </c>
      <c r="F137" s="31">
        <v>4803.82</v>
      </c>
      <c r="G137" s="1" t="s">
        <v>15</v>
      </c>
      <c r="H137" s="32">
        <v>1</v>
      </c>
    </row>
    <row r="138" spans="1:8" x14ac:dyDescent="0.25">
      <c r="A138" s="1" t="s">
        <v>225</v>
      </c>
      <c r="B138" s="1" t="s">
        <v>139</v>
      </c>
      <c r="C138" s="1" t="str">
        <f t="shared" si="2"/>
        <v>Feb</v>
      </c>
      <c r="D138" s="1" t="s">
        <v>18</v>
      </c>
      <c r="E138" s="1" t="s">
        <v>28</v>
      </c>
      <c r="F138" s="31">
        <v>2345.0100000000002</v>
      </c>
      <c r="G138" s="1" t="s">
        <v>15</v>
      </c>
      <c r="H138" s="32">
        <v>15</v>
      </c>
    </row>
    <row r="139" spans="1:8" x14ac:dyDescent="0.25">
      <c r="A139" s="1" t="s">
        <v>226</v>
      </c>
      <c r="B139" s="1" t="s">
        <v>227</v>
      </c>
      <c r="C139" s="1" t="str">
        <f t="shared" si="2"/>
        <v>Sep</v>
      </c>
      <c r="D139" s="1" t="s">
        <v>18</v>
      </c>
      <c r="E139" s="1" t="s">
        <v>10</v>
      </c>
      <c r="F139" s="31">
        <v>4545.8100000000004</v>
      </c>
      <c r="G139" s="1" t="s">
        <v>11</v>
      </c>
      <c r="H139" s="32">
        <v>2</v>
      </c>
    </row>
    <row r="140" spans="1:8" x14ac:dyDescent="0.25">
      <c r="A140" s="1" t="s">
        <v>228</v>
      </c>
      <c r="B140" s="1" t="s">
        <v>229</v>
      </c>
      <c r="C140" s="1" t="str">
        <f t="shared" si="2"/>
        <v>Jun</v>
      </c>
      <c r="D140" s="1" t="s">
        <v>9</v>
      </c>
      <c r="E140" s="1" t="s">
        <v>28</v>
      </c>
      <c r="F140" s="31">
        <v>3761.05</v>
      </c>
      <c r="G140" s="1" t="s">
        <v>15</v>
      </c>
      <c r="H140" s="32">
        <v>13</v>
      </c>
    </row>
    <row r="141" spans="1:8" x14ac:dyDescent="0.25">
      <c r="A141" s="1" t="s">
        <v>230</v>
      </c>
      <c r="B141" s="1" t="s">
        <v>231</v>
      </c>
      <c r="C141" s="1" t="str">
        <f t="shared" si="2"/>
        <v>Nov</v>
      </c>
      <c r="D141" s="1" t="s">
        <v>9</v>
      </c>
      <c r="E141" s="1" t="s">
        <v>14</v>
      </c>
      <c r="F141" s="31">
        <v>1821.13</v>
      </c>
      <c r="G141" s="1" t="s">
        <v>11</v>
      </c>
      <c r="H141" s="32">
        <v>8</v>
      </c>
    </row>
    <row r="142" spans="1:8" x14ac:dyDescent="0.25">
      <c r="A142" s="1" t="s">
        <v>232</v>
      </c>
      <c r="B142" s="2">
        <v>45820</v>
      </c>
      <c r="C142" s="1" t="str">
        <f t="shared" si="2"/>
        <v>Jun</v>
      </c>
      <c r="D142" s="1" t="s">
        <v>20</v>
      </c>
      <c r="E142" s="1" t="s">
        <v>10</v>
      </c>
      <c r="F142" s="31">
        <v>1639.14</v>
      </c>
      <c r="G142" s="1" t="s">
        <v>11</v>
      </c>
      <c r="H142" s="32">
        <v>8</v>
      </c>
    </row>
    <row r="143" spans="1:8" x14ac:dyDescent="0.25">
      <c r="A143" s="1" t="s">
        <v>233</v>
      </c>
      <c r="B143" s="1" t="s">
        <v>234</v>
      </c>
      <c r="C143" s="1" t="str">
        <f t="shared" si="2"/>
        <v>May</v>
      </c>
      <c r="D143" s="1" t="s">
        <v>9</v>
      </c>
      <c r="E143" s="1" t="s">
        <v>28</v>
      </c>
      <c r="F143" s="31">
        <v>4629.05</v>
      </c>
      <c r="G143" s="1" t="s">
        <v>11</v>
      </c>
      <c r="H143" s="32">
        <v>3</v>
      </c>
    </row>
    <row r="144" spans="1:8" x14ac:dyDescent="0.25">
      <c r="A144" s="1" t="s">
        <v>235</v>
      </c>
      <c r="B144" s="1" t="s">
        <v>236</v>
      </c>
      <c r="C144" s="1" t="str">
        <f t="shared" si="2"/>
        <v>Jun</v>
      </c>
      <c r="D144" s="1" t="s">
        <v>30</v>
      </c>
      <c r="E144" s="1" t="s">
        <v>14</v>
      </c>
      <c r="F144" s="31">
        <v>4059.01</v>
      </c>
      <c r="G144" s="1" t="s">
        <v>25</v>
      </c>
      <c r="H144" s="32">
        <v>12</v>
      </c>
    </row>
    <row r="145" spans="1:8" x14ac:dyDescent="0.25">
      <c r="A145" s="1" t="s">
        <v>237</v>
      </c>
      <c r="B145" s="1" t="s">
        <v>103</v>
      </c>
      <c r="C145" s="1" t="str">
        <f t="shared" si="2"/>
        <v>Oct</v>
      </c>
      <c r="D145" s="1" t="s">
        <v>20</v>
      </c>
      <c r="E145" s="1" t="s">
        <v>28</v>
      </c>
      <c r="F145" s="31">
        <v>2787.01</v>
      </c>
      <c r="G145" s="1" t="s">
        <v>15</v>
      </c>
      <c r="H145" s="32">
        <v>15</v>
      </c>
    </row>
    <row r="146" spans="1:8" x14ac:dyDescent="0.25">
      <c r="A146" s="1" t="s">
        <v>238</v>
      </c>
      <c r="B146" s="1" t="s">
        <v>239</v>
      </c>
      <c r="C146" s="1" t="str">
        <f t="shared" si="2"/>
        <v>Mar</v>
      </c>
      <c r="D146" s="1" t="s">
        <v>30</v>
      </c>
      <c r="E146" s="1" t="s">
        <v>42</v>
      </c>
      <c r="F146" s="31">
        <v>1017.26</v>
      </c>
      <c r="G146" s="1" t="s">
        <v>15</v>
      </c>
      <c r="H146" s="32">
        <v>7</v>
      </c>
    </row>
    <row r="147" spans="1:8" x14ac:dyDescent="0.25">
      <c r="A147" s="1" t="s">
        <v>240</v>
      </c>
      <c r="B147" s="2">
        <v>45664</v>
      </c>
      <c r="C147" s="1" t="str">
        <f t="shared" si="2"/>
        <v>Jan</v>
      </c>
      <c r="D147" s="1" t="s">
        <v>9</v>
      </c>
      <c r="E147" s="1" t="s">
        <v>28</v>
      </c>
      <c r="F147" s="31">
        <v>2302.67</v>
      </c>
      <c r="G147" s="1" t="s">
        <v>11</v>
      </c>
      <c r="H147" s="32">
        <v>15</v>
      </c>
    </row>
    <row r="148" spans="1:8" x14ac:dyDescent="0.25">
      <c r="A148" s="1" t="s">
        <v>241</v>
      </c>
      <c r="B148" s="2">
        <v>45788</v>
      </c>
      <c r="C148" s="1" t="str">
        <f t="shared" si="2"/>
        <v>May</v>
      </c>
      <c r="D148" s="1" t="s">
        <v>18</v>
      </c>
      <c r="E148" s="1" t="s">
        <v>42</v>
      </c>
      <c r="F148" s="31">
        <v>4310.01</v>
      </c>
      <c r="G148" s="1" t="s">
        <v>11</v>
      </c>
      <c r="H148" s="32">
        <v>5</v>
      </c>
    </row>
    <row r="149" spans="1:8" x14ac:dyDescent="0.25">
      <c r="A149" s="1" t="s">
        <v>242</v>
      </c>
      <c r="B149" s="1" t="s">
        <v>243</v>
      </c>
      <c r="C149" s="1" t="str">
        <f t="shared" si="2"/>
        <v>Mar</v>
      </c>
      <c r="D149" s="1" t="s">
        <v>9</v>
      </c>
      <c r="E149" s="1" t="s">
        <v>10</v>
      </c>
      <c r="F149" s="31">
        <v>2523.5300000000002</v>
      </c>
      <c r="G149" s="1" t="s">
        <v>11</v>
      </c>
      <c r="H149" s="32">
        <v>10</v>
      </c>
    </row>
    <row r="150" spans="1:8" x14ac:dyDescent="0.25">
      <c r="A150" s="1" t="s">
        <v>244</v>
      </c>
      <c r="B150" s="1" t="s">
        <v>245</v>
      </c>
      <c r="C150" s="1" t="str">
        <f t="shared" si="2"/>
        <v>Jan</v>
      </c>
      <c r="D150" s="1" t="s">
        <v>9</v>
      </c>
      <c r="E150" s="1" t="s">
        <v>42</v>
      </c>
      <c r="F150" s="31">
        <v>2543.75</v>
      </c>
      <c r="G150" s="1" t="s">
        <v>11</v>
      </c>
      <c r="H150" s="32">
        <v>15</v>
      </c>
    </row>
    <row r="151" spans="1:8" x14ac:dyDescent="0.25">
      <c r="A151" s="1" t="s">
        <v>246</v>
      </c>
      <c r="B151" s="2">
        <v>45931</v>
      </c>
      <c r="C151" s="1" t="str">
        <f t="shared" si="2"/>
        <v>Oct</v>
      </c>
      <c r="D151" s="1" t="s">
        <v>30</v>
      </c>
      <c r="E151" s="1" t="s">
        <v>14</v>
      </c>
      <c r="F151" s="31">
        <v>4557.87</v>
      </c>
      <c r="G151" s="1" t="s">
        <v>15</v>
      </c>
      <c r="H151" s="32">
        <v>12</v>
      </c>
    </row>
    <row r="152" spans="1:8" x14ac:dyDescent="0.25">
      <c r="A152" s="1" t="s">
        <v>247</v>
      </c>
      <c r="B152" s="2">
        <v>45780</v>
      </c>
      <c r="C152" s="1" t="str">
        <f t="shared" si="2"/>
        <v>May</v>
      </c>
      <c r="D152" s="1" t="s">
        <v>20</v>
      </c>
      <c r="E152" s="1" t="s">
        <v>42</v>
      </c>
      <c r="F152" s="31">
        <v>1597.18</v>
      </c>
      <c r="G152" s="1" t="s">
        <v>11</v>
      </c>
      <c r="H152" s="32">
        <v>11</v>
      </c>
    </row>
    <row r="153" spans="1:8" x14ac:dyDescent="0.25">
      <c r="A153" s="1" t="s">
        <v>248</v>
      </c>
      <c r="B153" s="1" t="s">
        <v>201</v>
      </c>
      <c r="C153" s="1" t="str">
        <f t="shared" si="2"/>
        <v>May</v>
      </c>
      <c r="D153" s="1" t="s">
        <v>20</v>
      </c>
      <c r="E153" s="1" t="s">
        <v>28</v>
      </c>
      <c r="F153" s="31">
        <v>3117.27</v>
      </c>
      <c r="G153" s="1" t="s">
        <v>11</v>
      </c>
      <c r="H153" s="32">
        <v>13</v>
      </c>
    </row>
    <row r="154" spans="1:8" x14ac:dyDescent="0.25">
      <c r="A154" s="1" t="s">
        <v>249</v>
      </c>
      <c r="B154" s="1" t="s">
        <v>250</v>
      </c>
      <c r="C154" s="1" t="str">
        <f t="shared" si="2"/>
        <v>Jul</v>
      </c>
      <c r="D154" s="1" t="s">
        <v>18</v>
      </c>
      <c r="E154" s="1" t="s">
        <v>10</v>
      </c>
      <c r="F154" s="31">
        <v>1841.92</v>
      </c>
      <c r="G154" s="1" t="s">
        <v>15</v>
      </c>
      <c r="H154" s="32">
        <v>11</v>
      </c>
    </row>
    <row r="155" spans="1:8" x14ac:dyDescent="0.25">
      <c r="A155" s="1" t="s">
        <v>251</v>
      </c>
      <c r="B155" s="1" t="s">
        <v>74</v>
      </c>
      <c r="C155" s="1" t="str">
        <f t="shared" si="2"/>
        <v>Jan</v>
      </c>
      <c r="D155" s="1" t="s">
        <v>9</v>
      </c>
      <c r="E155" s="1" t="s">
        <v>42</v>
      </c>
      <c r="F155" s="31">
        <v>3769.14</v>
      </c>
      <c r="G155" s="1" t="s">
        <v>11</v>
      </c>
      <c r="H155" s="32">
        <v>10</v>
      </c>
    </row>
    <row r="156" spans="1:8" x14ac:dyDescent="0.25">
      <c r="A156" s="1" t="s">
        <v>252</v>
      </c>
      <c r="B156" s="1" t="s">
        <v>35</v>
      </c>
      <c r="C156" s="1" t="str">
        <f t="shared" si="2"/>
        <v>Jan</v>
      </c>
      <c r="D156" s="1" t="s">
        <v>20</v>
      </c>
      <c r="E156" s="1" t="s">
        <v>14</v>
      </c>
      <c r="F156" s="31">
        <v>929.99</v>
      </c>
      <c r="G156" s="1" t="s">
        <v>25</v>
      </c>
      <c r="H156" s="32">
        <v>12</v>
      </c>
    </row>
    <row r="157" spans="1:8" x14ac:dyDescent="0.25">
      <c r="A157" s="1" t="s">
        <v>253</v>
      </c>
      <c r="B157" s="1" t="s">
        <v>254</v>
      </c>
      <c r="C157" s="1" t="str">
        <f t="shared" si="2"/>
        <v>Sep</v>
      </c>
      <c r="D157" s="1" t="s">
        <v>9</v>
      </c>
      <c r="E157" s="1" t="s">
        <v>42</v>
      </c>
      <c r="F157" s="31">
        <v>4065.69</v>
      </c>
      <c r="G157" s="1" t="s">
        <v>15</v>
      </c>
      <c r="H157" s="32">
        <v>15</v>
      </c>
    </row>
    <row r="158" spans="1:8" x14ac:dyDescent="0.25">
      <c r="A158" s="1" t="s">
        <v>255</v>
      </c>
      <c r="B158" s="1" t="s">
        <v>256</v>
      </c>
      <c r="C158" s="1" t="str">
        <f t="shared" si="2"/>
        <v>Jan</v>
      </c>
      <c r="D158" s="1" t="s">
        <v>20</v>
      </c>
      <c r="E158" s="1" t="s">
        <v>42</v>
      </c>
      <c r="F158" s="31">
        <v>4533.95</v>
      </c>
      <c r="G158" s="1" t="s">
        <v>15</v>
      </c>
      <c r="H158" s="32">
        <v>2</v>
      </c>
    </row>
    <row r="159" spans="1:8" x14ac:dyDescent="0.25">
      <c r="A159" s="1" t="s">
        <v>257</v>
      </c>
      <c r="B159" s="1" t="s">
        <v>258</v>
      </c>
      <c r="C159" s="1" t="str">
        <f t="shared" si="2"/>
        <v>Apr</v>
      </c>
      <c r="D159" s="1" t="s">
        <v>30</v>
      </c>
      <c r="E159" s="1" t="s">
        <v>10</v>
      </c>
      <c r="F159" s="31">
        <v>4960.71</v>
      </c>
      <c r="G159" s="1" t="s">
        <v>25</v>
      </c>
      <c r="H159" s="32">
        <v>8</v>
      </c>
    </row>
    <row r="160" spans="1:8" x14ac:dyDescent="0.25">
      <c r="A160" s="1" t="s">
        <v>259</v>
      </c>
      <c r="B160" s="1" t="s">
        <v>260</v>
      </c>
      <c r="C160" s="1" t="str">
        <f t="shared" si="2"/>
        <v>Feb</v>
      </c>
      <c r="D160" s="1" t="s">
        <v>30</v>
      </c>
      <c r="E160" s="1" t="s">
        <v>10</v>
      </c>
      <c r="F160" s="31">
        <v>1484.85</v>
      </c>
      <c r="G160" s="1" t="s">
        <v>25</v>
      </c>
      <c r="H160" s="32">
        <v>10</v>
      </c>
    </row>
    <row r="161" spans="1:8" x14ac:dyDescent="0.25">
      <c r="A161" s="1" t="s">
        <v>261</v>
      </c>
      <c r="B161" s="2">
        <v>45754</v>
      </c>
      <c r="C161" s="1" t="str">
        <f t="shared" si="2"/>
        <v>Apr</v>
      </c>
      <c r="D161" s="1" t="s">
        <v>9</v>
      </c>
      <c r="E161" s="1" t="s">
        <v>14</v>
      </c>
      <c r="F161" s="31">
        <v>4560.92</v>
      </c>
      <c r="G161" s="1" t="s">
        <v>15</v>
      </c>
      <c r="H161" s="32">
        <v>12</v>
      </c>
    </row>
    <row r="162" spans="1:8" x14ac:dyDescent="0.25">
      <c r="A162" s="1" t="s">
        <v>262</v>
      </c>
      <c r="B162" s="2">
        <v>45848</v>
      </c>
      <c r="C162" s="1" t="str">
        <f t="shared" si="2"/>
        <v>Jul</v>
      </c>
      <c r="D162" s="1" t="s">
        <v>20</v>
      </c>
      <c r="E162" s="1" t="s">
        <v>42</v>
      </c>
      <c r="F162" s="31">
        <v>4460.59</v>
      </c>
      <c r="G162" s="1" t="s">
        <v>11</v>
      </c>
      <c r="H162" s="32">
        <v>14</v>
      </c>
    </row>
    <row r="163" spans="1:8" x14ac:dyDescent="0.25">
      <c r="A163" s="1" t="s">
        <v>263</v>
      </c>
      <c r="B163" s="1" t="s">
        <v>190</v>
      </c>
      <c r="C163" s="1" t="str">
        <f t="shared" si="2"/>
        <v>Apr</v>
      </c>
      <c r="D163" s="1" t="s">
        <v>20</v>
      </c>
      <c r="E163" s="1" t="s">
        <v>14</v>
      </c>
      <c r="F163" s="31">
        <v>1276.48</v>
      </c>
      <c r="G163" s="1" t="s">
        <v>15</v>
      </c>
      <c r="H163" s="32">
        <v>7</v>
      </c>
    </row>
    <row r="164" spans="1:8" x14ac:dyDescent="0.25">
      <c r="A164" s="1" t="s">
        <v>264</v>
      </c>
      <c r="B164" s="2">
        <v>45880</v>
      </c>
      <c r="C164" s="1" t="str">
        <f t="shared" si="2"/>
        <v>Aug</v>
      </c>
      <c r="D164" s="1" t="s">
        <v>18</v>
      </c>
      <c r="E164" s="1" t="s">
        <v>42</v>
      </c>
      <c r="F164" s="31">
        <v>665.24</v>
      </c>
      <c r="G164" s="1" t="s">
        <v>25</v>
      </c>
      <c r="H164" s="32">
        <v>15</v>
      </c>
    </row>
    <row r="165" spans="1:8" x14ac:dyDescent="0.25">
      <c r="A165" s="1" t="s">
        <v>265</v>
      </c>
      <c r="B165" s="1" t="s">
        <v>266</v>
      </c>
      <c r="C165" s="1" t="str">
        <f t="shared" si="2"/>
        <v>Oct</v>
      </c>
      <c r="D165" s="1" t="s">
        <v>18</v>
      </c>
      <c r="E165" s="1" t="s">
        <v>14</v>
      </c>
      <c r="F165" s="31">
        <v>2417.2800000000002</v>
      </c>
      <c r="G165" s="1" t="s">
        <v>11</v>
      </c>
      <c r="H165" s="32">
        <v>13</v>
      </c>
    </row>
    <row r="166" spans="1:8" x14ac:dyDescent="0.25">
      <c r="A166" s="1" t="s">
        <v>267</v>
      </c>
      <c r="B166" s="1" t="s">
        <v>268</v>
      </c>
      <c r="C166" s="1" t="str">
        <f t="shared" si="2"/>
        <v>Jun</v>
      </c>
      <c r="D166" s="1" t="s">
        <v>18</v>
      </c>
      <c r="E166" s="1" t="s">
        <v>42</v>
      </c>
      <c r="F166" s="31">
        <v>2582.2399999999998</v>
      </c>
      <c r="G166" s="1" t="s">
        <v>25</v>
      </c>
      <c r="H166" s="32">
        <v>15</v>
      </c>
    </row>
    <row r="167" spans="1:8" x14ac:dyDescent="0.25">
      <c r="A167" s="1" t="s">
        <v>269</v>
      </c>
      <c r="B167" s="1" t="s">
        <v>270</v>
      </c>
      <c r="C167" s="1" t="str">
        <f t="shared" si="2"/>
        <v>Feb</v>
      </c>
      <c r="D167" s="1" t="s">
        <v>18</v>
      </c>
      <c r="E167" s="1" t="s">
        <v>10</v>
      </c>
      <c r="F167" s="31">
        <v>2118.1799999999998</v>
      </c>
      <c r="G167" s="1" t="s">
        <v>11</v>
      </c>
      <c r="H167" s="32">
        <v>2</v>
      </c>
    </row>
    <row r="168" spans="1:8" x14ac:dyDescent="0.25">
      <c r="A168" s="1" t="s">
        <v>271</v>
      </c>
      <c r="B168" s="1" t="s">
        <v>272</v>
      </c>
      <c r="C168" s="1" t="str">
        <f t="shared" si="2"/>
        <v>Aug</v>
      </c>
      <c r="D168" s="1" t="s">
        <v>30</v>
      </c>
      <c r="E168" s="1" t="s">
        <v>14</v>
      </c>
      <c r="F168" s="31">
        <v>3234.13</v>
      </c>
      <c r="G168" s="1" t="s">
        <v>11</v>
      </c>
      <c r="H168" s="32">
        <v>5</v>
      </c>
    </row>
    <row r="169" spans="1:8" x14ac:dyDescent="0.25">
      <c r="A169" s="1" t="s">
        <v>273</v>
      </c>
      <c r="B169" s="1" t="s">
        <v>185</v>
      </c>
      <c r="C169" s="1" t="str">
        <f t="shared" si="2"/>
        <v>Mar</v>
      </c>
      <c r="D169" s="1" t="s">
        <v>30</v>
      </c>
      <c r="E169" s="1" t="s">
        <v>14</v>
      </c>
      <c r="F169" s="31">
        <v>1609.03</v>
      </c>
      <c r="G169" s="1" t="s">
        <v>25</v>
      </c>
      <c r="H169" s="32">
        <v>7</v>
      </c>
    </row>
    <row r="170" spans="1:8" x14ac:dyDescent="0.25">
      <c r="A170" s="1" t="s">
        <v>274</v>
      </c>
      <c r="B170" s="1" t="s">
        <v>41</v>
      </c>
      <c r="C170" s="1" t="str">
        <f t="shared" si="2"/>
        <v>Aug</v>
      </c>
      <c r="D170" s="1" t="s">
        <v>9</v>
      </c>
      <c r="E170" s="1" t="s">
        <v>10</v>
      </c>
      <c r="F170" s="31">
        <v>2191.94</v>
      </c>
      <c r="G170" s="1" t="s">
        <v>25</v>
      </c>
      <c r="H170" s="32">
        <v>15</v>
      </c>
    </row>
    <row r="171" spans="1:8" x14ac:dyDescent="0.25">
      <c r="A171" s="1" t="s">
        <v>275</v>
      </c>
      <c r="B171" s="1" t="s">
        <v>276</v>
      </c>
      <c r="C171" s="1" t="str">
        <f t="shared" si="2"/>
        <v>May</v>
      </c>
      <c r="D171" s="1" t="s">
        <v>20</v>
      </c>
      <c r="E171" s="1" t="s">
        <v>10</v>
      </c>
      <c r="F171" s="31">
        <v>3459.36</v>
      </c>
      <c r="G171" s="1" t="s">
        <v>11</v>
      </c>
      <c r="H171" s="32">
        <v>8</v>
      </c>
    </row>
    <row r="172" spans="1:8" x14ac:dyDescent="0.25">
      <c r="A172" s="1" t="s">
        <v>277</v>
      </c>
      <c r="B172" s="1" t="s">
        <v>278</v>
      </c>
      <c r="C172" s="1" t="str">
        <f t="shared" si="2"/>
        <v>Feb</v>
      </c>
      <c r="D172" s="1" t="s">
        <v>20</v>
      </c>
      <c r="E172" s="1" t="s">
        <v>14</v>
      </c>
      <c r="F172" s="31">
        <v>2913.8</v>
      </c>
      <c r="G172" s="1" t="s">
        <v>11</v>
      </c>
      <c r="H172" s="32">
        <v>9</v>
      </c>
    </row>
    <row r="173" spans="1:8" x14ac:dyDescent="0.25">
      <c r="A173" s="1" t="s">
        <v>279</v>
      </c>
      <c r="B173" s="1" t="s">
        <v>280</v>
      </c>
      <c r="C173" s="1" t="str">
        <f t="shared" si="2"/>
        <v>Jan</v>
      </c>
      <c r="D173" s="1" t="s">
        <v>20</v>
      </c>
      <c r="E173" s="1" t="s">
        <v>28</v>
      </c>
      <c r="F173" s="31">
        <v>4790.08</v>
      </c>
      <c r="G173" s="1" t="s">
        <v>15</v>
      </c>
      <c r="H173" s="32">
        <v>7</v>
      </c>
    </row>
    <row r="174" spans="1:8" x14ac:dyDescent="0.25">
      <c r="A174" s="1" t="s">
        <v>281</v>
      </c>
      <c r="B174" s="1" t="s">
        <v>282</v>
      </c>
      <c r="C174" s="1" t="str">
        <f t="shared" si="2"/>
        <v>Apr</v>
      </c>
      <c r="D174" s="1" t="s">
        <v>18</v>
      </c>
      <c r="E174" s="1" t="s">
        <v>10</v>
      </c>
      <c r="F174" s="31">
        <v>3412.08</v>
      </c>
      <c r="G174" s="1" t="s">
        <v>25</v>
      </c>
      <c r="H174" s="32">
        <v>1</v>
      </c>
    </row>
    <row r="175" spans="1:8" x14ac:dyDescent="0.25">
      <c r="A175" s="1" t="s">
        <v>283</v>
      </c>
      <c r="B175" s="2">
        <v>45783</v>
      </c>
      <c r="C175" s="1" t="str">
        <f t="shared" si="2"/>
        <v>May</v>
      </c>
      <c r="D175" s="1" t="s">
        <v>30</v>
      </c>
      <c r="E175" s="1" t="s">
        <v>14</v>
      </c>
      <c r="F175" s="31">
        <v>3482.86</v>
      </c>
      <c r="G175" s="1" t="s">
        <v>15</v>
      </c>
      <c r="H175" s="32">
        <v>5</v>
      </c>
    </row>
    <row r="176" spans="1:8" x14ac:dyDescent="0.25">
      <c r="A176" s="1" t="s">
        <v>284</v>
      </c>
      <c r="B176" s="1" t="s">
        <v>148</v>
      </c>
      <c r="C176" s="1" t="str">
        <f t="shared" si="2"/>
        <v>Feb</v>
      </c>
      <c r="D176" s="1" t="s">
        <v>20</v>
      </c>
      <c r="E176" s="1" t="s">
        <v>28</v>
      </c>
      <c r="F176" s="31">
        <v>3528.28</v>
      </c>
      <c r="G176" s="1" t="s">
        <v>11</v>
      </c>
      <c r="H176" s="32">
        <v>11</v>
      </c>
    </row>
    <row r="177" spans="1:8" x14ac:dyDescent="0.25">
      <c r="A177" s="1" t="s">
        <v>285</v>
      </c>
      <c r="B177" s="1" t="s">
        <v>286</v>
      </c>
      <c r="C177" s="1" t="str">
        <f t="shared" si="2"/>
        <v>Mar</v>
      </c>
      <c r="D177" s="1" t="s">
        <v>9</v>
      </c>
      <c r="E177" s="1" t="s">
        <v>14</v>
      </c>
      <c r="F177" s="31">
        <v>4936.38</v>
      </c>
      <c r="G177" s="1" t="s">
        <v>15</v>
      </c>
      <c r="H177" s="32">
        <v>5</v>
      </c>
    </row>
    <row r="178" spans="1:8" x14ac:dyDescent="0.25">
      <c r="A178" s="1" t="s">
        <v>287</v>
      </c>
      <c r="B178" s="1" t="s">
        <v>288</v>
      </c>
      <c r="C178" s="1" t="str">
        <f t="shared" si="2"/>
        <v>May</v>
      </c>
      <c r="D178" s="1" t="s">
        <v>30</v>
      </c>
      <c r="E178" s="1" t="s">
        <v>10</v>
      </c>
      <c r="F178" s="31">
        <v>1358.08</v>
      </c>
      <c r="G178" s="1" t="s">
        <v>11</v>
      </c>
      <c r="H178" s="32">
        <v>6</v>
      </c>
    </row>
    <row r="179" spans="1:8" x14ac:dyDescent="0.25">
      <c r="A179" s="1" t="s">
        <v>289</v>
      </c>
      <c r="B179" s="1" t="s">
        <v>290</v>
      </c>
      <c r="C179" s="1" t="str">
        <f t="shared" si="2"/>
        <v>Apr</v>
      </c>
      <c r="D179" s="1" t="s">
        <v>30</v>
      </c>
      <c r="E179" s="1" t="s">
        <v>10</v>
      </c>
      <c r="F179" s="31">
        <v>1915.54</v>
      </c>
      <c r="G179" s="1" t="s">
        <v>15</v>
      </c>
      <c r="H179" s="32">
        <v>1</v>
      </c>
    </row>
    <row r="180" spans="1:8" x14ac:dyDescent="0.25">
      <c r="A180" s="1" t="s">
        <v>291</v>
      </c>
      <c r="B180" s="1" t="s">
        <v>292</v>
      </c>
      <c r="C180" s="1" t="str">
        <f t="shared" si="2"/>
        <v>Feb</v>
      </c>
      <c r="D180" s="1" t="s">
        <v>30</v>
      </c>
      <c r="E180" s="1" t="s">
        <v>10</v>
      </c>
      <c r="F180" s="31">
        <v>1172.9100000000001</v>
      </c>
      <c r="G180" s="1" t="s">
        <v>11</v>
      </c>
      <c r="H180" s="32">
        <v>7</v>
      </c>
    </row>
    <row r="181" spans="1:8" x14ac:dyDescent="0.25">
      <c r="A181" s="1" t="s">
        <v>293</v>
      </c>
      <c r="B181" s="1" t="s">
        <v>294</v>
      </c>
      <c r="C181" s="1" t="str">
        <f t="shared" si="2"/>
        <v>Apr</v>
      </c>
      <c r="D181" s="1" t="s">
        <v>9</v>
      </c>
      <c r="E181" s="1" t="s">
        <v>10</v>
      </c>
      <c r="F181" s="31">
        <v>2669.44</v>
      </c>
      <c r="G181" s="1" t="s">
        <v>25</v>
      </c>
      <c r="H181" s="32">
        <v>6</v>
      </c>
    </row>
    <row r="182" spans="1:8" x14ac:dyDescent="0.25">
      <c r="A182" s="1" t="s">
        <v>295</v>
      </c>
      <c r="B182" s="2">
        <v>45700</v>
      </c>
      <c r="C182" s="1" t="str">
        <f t="shared" si="2"/>
        <v>Feb</v>
      </c>
      <c r="D182" s="1" t="s">
        <v>9</v>
      </c>
      <c r="E182" s="1" t="s">
        <v>10</v>
      </c>
      <c r="F182" s="31">
        <v>1595.63</v>
      </c>
      <c r="G182" s="1" t="s">
        <v>15</v>
      </c>
      <c r="H182" s="32">
        <v>7</v>
      </c>
    </row>
    <row r="183" spans="1:8" x14ac:dyDescent="0.25">
      <c r="A183" s="1" t="s">
        <v>296</v>
      </c>
      <c r="B183" s="1" t="s">
        <v>297</v>
      </c>
      <c r="C183" s="1" t="str">
        <f t="shared" si="2"/>
        <v>Jan</v>
      </c>
      <c r="D183" s="1" t="s">
        <v>9</v>
      </c>
      <c r="E183" s="1" t="s">
        <v>10</v>
      </c>
      <c r="F183" s="31">
        <v>1521.76</v>
      </c>
      <c r="G183" s="1" t="s">
        <v>15</v>
      </c>
      <c r="H183" s="32">
        <v>7</v>
      </c>
    </row>
    <row r="184" spans="1:8" x14ac:dyDescent="0.25">
      <c r="A184" s="1" t="s">
        <v>298</v>
      </c>
      <c r="B184" s="1" t="s">
        <v>58</v>
      </c>
      <c r="C184" s="1" t="str">
        <f t="shared" si="2"/>
        <v>Jan</v>
      </c>
      <c r="D184" s="1" t="s">
        <v>9</v>
      </c>
      <c r="E184" s="1" t="s">
        <v>28</v>
      </c>
      <c r="F184" s="31">
        <v>3582.52</v>
      </c>
      <c r="G184" s="1" t="s">
        <v>25</v>
      </c>
      <c r="H184" s="32">
        <v>8</v>
      </c>
    </row>
    <row r="185" spans="1:8" x14ac:dyDescent="0.25">
      <c r="A185" s="1" t="s">
        <v>299</v>
      </c>
      <c r="B185" s="1" t="s">
        <v>300</v>
      </c>
      <c r="C185" s="1" t="str">
        <f t="shared" si="2"/>
        <v>Dec</v>
      </c>
      <c r="D185" s="1" t="s">
        <v>30</v>
      </c>
      <c r="E185" s="1" t="s">
        <v>10</v>
      </c>
      <c r="F185" s="31">
        <v>1114.1600000000001</v>
      </c>
      <c r="G185" s="1" t="s">
        <v>15</v>
      </c>
      <c r="H185" s="32">
        <v>15</v>
      </c>
    </row>
    <row r="186" spans="1:8" x14ac:dyDescent="0.25">
      <c r="A186" s="1" t="s">
        <v>301</v>
      </c>
      <c r="B186" s="2">
        <v>45759</v>
      </c>
      <c r="C186" s="1" t="str">
        <f t="shared" si="2"/>
        <v>Apr</v>
      </c>
      <c r="D186" s="1" t="s">
        <v>18</v>
      </c>
      <c r="E186" s="1" t="s">
        <v>28</v>
      </c>
      <c r="F186" s="31">
        <v>2370.64</v>
      </c>
      <c r="G186" s="1" t="s">
        <v>11</v>
      </c>
      <c r="H186" s="32">
        <v>12</v>
      </c>
    </row>
    <row r="187" spans="1:8" x14ac:dyDescent="0.25">
      <c r="A187" s="1" t="s">
        <v>302</v>
      </c>
      <c r="B187" s="2">
        <v>45693</v>
      </c>
      <c r="C187" s="1" t="str">
        <f t="shared" si="2"/>
        <v>Feb</v>
      </c>
      <c r="D187" s="1" t="s">
        <v>9</v>
      </c>
      <c r="E187" s="1" t="s">
        <v>14</v>
      </c>
      <c r="F187" s="31">
        <v>1492.59</v>
      </c>
      <c r="G187" s="1" t="s">
        <v>15</v>
      </c>
      <c r="H187" s="32">
        <v>9</v>
      </c>
    </row>
    <row r="188" spans="1:8" x14ac:dyDescent="0.25">
      <c r="A188" s="1" t="s">
        <v>303</v>
      </c>
      <c r="B188" s="2">
        <v>45692</v>
      </c>
      <c r="C188" s="1" t="str">
        <f t="shared" si="2"/>
        <v>Feb</v>
      </c>
      <c r="D188" s="1" t="s">
        <v>20</v>
      </c>
      <c r="E188" s="1" t="s">
        <v>28</v>
      </c>
      <c r="F188" s="31">
        <v>2983.64</v>
      </c>
      <c r="G188" s="1" t="s">
        <v>11</v>
      </c>
      <c r="H188" s="32">
        <v>4</v>
      </c>
    </row>
    <row r="189" spans="1:8" x14ac:dyDescent="0.25">
      <c r="A189" s="1" t="s">
        <v>304</v>
      </c>
      <c r="B189" s="2">
        <v>45839</v>
      </c>
      <c r="C189" s="1" t="str">
        <f t="shared" si="2"/>
        <v>Jul</v>
      </c>
      <c r="D189" s="1" t="s">
        <v>18</v>
      </c>
      <c r="E189" s="1" t="s">
        <v>28</v>
      </c>
      <c r="F189" s="31">
        <v>1498.29</v>
      </c>
      <c r="G189" s="1" t="s">
        <v>15</v>
      </c>
      <c r="H189" s="32">
        <v>1</v>
      </c>
    </row>
    <row r="190" spans="1:8" x14ac:dyDescent="0.25">
      <c r="A190" s="1" t="s">
        <v>305</v>
      </c>
      <c r="B190" s="1" t="s">
        <v>306</v>
      </c>
      <c r="C190" s="1" t="str">
        <f t="shared" si="2"/>
        <v>May</v>
      </c>
      <c r="D190" s="1" t="s">
        <v>20</v>
      </c>
      <c r="E190" s="1" t="s">
        <v>14</v>
      </c>
      <c r="F190" s="31">
        <v>3923.47</v>
      </c>
      <c r="G190" s="1" t="s">
        <v>15</v>
      </c>
      <c r="H190" s="32">
        <v>11</v>
      </c>
    </row>
    <row r="191" spans="1:8" x14ac:dyDescent="0.25">
      <c r="A191" s="1" t="s">
        <v>307</v>
      </c>
      <c r="B191" s="2">
        <v>45841</v>
      </c>
      <c r="C191" s="1" t="str">
        <f t="shared" si="2"/>
        <v>Jul</v>
      </c>
      <c r="D191" s="1" t="s">
        <v>30</v>
      </c>
      <c r="E191" s="1" t="s">
        <v>42</v>
      </c>
      <c r="F191" s="31">
        <v>1779.94</v>
      </c>
      <c r="G191" s="1" t="s">
        <v>15</v>
      </c>
      <c r="H191" s="32">
        <v>10</v>
      </c>
    </row>
    <row r="192" spans="1:8" x14ac:dyDescent="0.25">
      <c r="A192" s="1" t="s">
        <v>308</v>
      </c>
      <c r="B192" s="1" t="s">
        <v>309</v>
      </c>
      <c r="C192" s="1" t="str">
        <f t="shared" si="2"/>
        <v>Mar</v>
      </c>
      <c r="D192" s="1" t="s">
        <v>9</v>
      </c>
      <c r="E192" s="1" t="s">
        <v>42</v>
      </c>
      <c r="F192" s="31">
        <v>1433.97</v>
      </c>
      <c r="G192" s="1" t="s">
        <v>25</v>
      </c>
      <c r="H192" s="32">
        <v>8</v>
      </c>
    </row>
    <row r="193" spans="1:8" x14ac:dyDescent="0.25">
      <c r="A193" s="1" t="s">
        <v>310</v>
      </c>
      <c r="B193" s="1" t="s">
        <v>311</v>
      </c>
      <c r="C193" s="1" t="str">
        <f t="shared" si="2"/>
        <v>Sep</v>
      </c>
      <c r="D193" s="1" t="s">
        <v>30</v>
      </c>
      <c r="E193" s="1" t="s">
        <v>28</v>
      </c>
      <c r="F193" s="31">
        <v>3972.98</v>
      </c>
      <c r="G193" s="1" t="s">
        <v>15</v>
      </c>
      <c r="H193" s="32">
        <v>9</v>
      </c>
    </row>
    <row r="194" spans="1:8" x14ac:dyDescent="0.25">
      <c r="A194" s="1" t="s">
        <v>312</v>
      </c>
      <c r="B194" s="1" t="s">
        <v>313</v>
      </c>
      <c r="C194" s="1" t="str">
        <f t="shared" si="2"/>
        <v>Sep</v>
      </c>
      <c r="D194" s="1" t="s">
        <v>20</v>
      </c>
      <c r="E194" s="1" t="s">
        <v>42</v>
      </c>
      <c r="F194" s="31">
        <v>3854.22</v>
      </c>
      <c r="G194" s="1" t="s">
        <v>11</v>
      </c>
      <c r="H194" s="32">
        <v>11</v>
      </c>
    </row>
    <row r="195" spans="1:8" x14ac:dyDescent="0.25">
      <c r="A195" s="1" t="s">
        <v>314</v>
      </c>
      <c r="B195" s="1" t="s">
        <v>290</v>
      </c>
      <c r="C195" s="1" t="str">
        <f t="shared" ref="C195:C201" si="3">TEXT(B195,"mmm")</f>
        <v>Apr</v>
      </c>
      <c r="D195" s="1" t="s">
        <v>18</v>
      </c>
      <c r="E195" s="1" t="s">
        <v>28</v>
      </c>
      <c r="F195" s="31">
        <v>3999.03</v>
      </c>
      <c r="G195" s="1" t="s">
        <v>25</v>
      </c>
      <c r="H195" s="32">
        <v>6</v>
      </c>
    </row>
    <row r="196" spans="1:8" x14ac:dyDescent="0.25">
      <c r="A196" s="1" t="s">
        <v>315</v>
      </c>
      <c r="B196" s="2">
        <v>45723</v>
      </c>
      <c r="C196" s="1" t="str">
        <f t="shared" si="3"/>
        <v>Mar</v>
      </c>
      <c r="D196" s="1" t="s">
        <v>20</v>
      </c>
      <c r="E196" s="1" t="s">
        <v>42</v>
      </c>
      <c r="F196" s="31">
        <v>3034.55</v>
      </c>
      <c r="G196" s="1" t="s">
        <v>11</v>
      </c>
      <c r="H196" s="32">
        <v>12</v>
      </c>
    </row>
    <row r="197" spans="1:8" x14ac:dyDescent="0.25">
      <c r="A197" s="1" t="s">
        <v>316</v>
      </c>
      <c r="B197" s="2">
        <v>45873</v>
      </c>
      <c r="C197" s="1" t="str">
        <f t="shared" si="3"/>
        <v>Aug</v>
      </c>
      <c r="D197" s="1" t="s">
        <v>18</v>
      </c>
      <c r="E197" s="1" t="s">
        <v>42</v>
      </c>
      <c r="F197" s="31">
        <v>983.52</v>
      </c>
      <c r="G197" s="1" t="s">
        <v>15</v>
      </c>
      <c r="H197" s="32">
        <v>2</v>
      </c>
    </row>
    <row r="198" spans="1:8" x14ac:dyDescent="0.25">
      <c r="A198" s="1" t="s">
        <v>317</v>
      </c>
      <c r="B198" s="2">
        <v>45755</v>
      </c>
      <c r="C198" s="1" t="str">
        <f t="shared" si="3"/>
        <v>Apr</v>
      </c>
      <c r="D198" s="1" t="s">
        <v>9</v>
      </c>
      <c r="E198" s="1" t="s">
        <v>10</v>
      </c>
      <c r="F198" s="31">
        <v>2262.2199999999998</v>
      </c>
      <c r="G198" s="1" t="s">
        <v>25</v>
      </c>
      <c r="H198" s="32">
        <v>13</v>
      </c>
    </row>
    <row r="199" spans="1:8" x14ac:dyDescent="0.25">
      <c r="A199" s="1" t="s">
        <v>318</v>
      </c>
      <c r="B199" s="1" t="s">
        <v>319</v>
      </c>
      <c r="C199" s="1" t="str">
        <f t="shared" si="3"/>
        <v>Jul</v>
      </c>
      <c r="D199" s="1" t="s">
        <v>20</v>
      </c>
      <c r="E199" s="1" t="s">
        <v>10</v>
      </c>
      <c r="F199" s="31">
        <v>4048.2</v>
      </c>
      <c r="G199" s="1" t="s">
        <v>11</v>
      </c>
      <c r="H199" s="32">
        <v>3</v>
      </c>
    </row>
    <row r="200" spans="1:8" x14ac:dyDescent="0.25">
      <c r="A200" s="1" t="s">
        <v>320</v>
      </c>
      <c r="B200" s="2">
        <v>45727</v>
      </c>
      <c r="C200" s="1" t="str">
        <f t="shared" si="3"/>
        <v>Mar</v>
      </c>
      <c r="D200" s="1" t="s">
        <v>9</v>
      </c>
      <c r="E200" s="1" t="s">
        <v>10</v>
      </c>
      <c r="F200" s="31">
        <v>1038.79</v>
      </c>
      <c r="G200" s="1" t="s">
        <v>25</v>
      </c>
      <c r="H200" s="32">
        <v>5</v>
      </c>
    </row>
    <row r="201" spans="1:8" x14ac:dyDescent="0.25">
      <c r="A201" s="1" t="s">
        <v>321</v>
      </c>
      <c r="B201" s="1" t="s">
        <v>322</v>
      </c>
      <c r="C201" s="1" t="str">
        <f t="shared" si="3"/>
        <v>Nov</v>
      </c>
      <c r="D201" s="1" t="s">
        <v>30</v>
      </c>
      <c r="E201" s="1" t="s">
        <v>28</v>
      </c>
      <c r="F201" s="31">
        <v>4920.67</v>
      </c>
      <c r="G201" s="1" t="s">
        <v>25</v>
      </c>
      <c r="H201" s="32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8347-A2F8-4145-B453-2FA03329B78B}">
  <dimension ref="A1:AC45"/>
  <sheetViews>
    <sheetView showGridLines="0" showRowColHeaders="0" tabSelected="1" zoomScale="95" zoomScaleNormal="95" zoomScaleSheetLayoutView="50" workbookViewId="0">
      <selection activeCell="A12" sqref="A12:A22"/>
    </sheetView>
  </sheetViews>
  <sheetFormatPr defaultRowHeight="15" x14ac:dyDescent="0.25"/>
  <cols>
    <col min="1" max="1" width="11.5703125" bestFit="1" customWidth="1"/>
    <col min="2" max="2" width="10" customWidth="1"/>
    <col min="3" max="3" width="15.140625" customWidth="1"/>
    <col min="4" max="4" width="15" customWidth="1"/>
    <col min="5" max="5" width="15.5703125" customWidth="1"/>
    <col min="6" max="6" width="13.5703125" customWidth="1"/>
    <col min="7" max="7" width="14.7109375" bestFit="1" customWidth="1"/>
    <col min="9" max="9" width="14" bestFit="1" customWidth="1"/>
    <col min="10" max="10" width="12.7109375" bestFit="1" customWidth="1"/>
    <col min="11" max="11" width="14.7109375" bestFit="1" customWidth="1"/>
    <col min="12" max="12" width="9.140625" customWidth="1"/>
    <col min="13" max="13" width="10.5703125" customWidth="1"/>
    <col min="16" max="16" width="11.42578125" customWidth="1"/>
    <col min="19" max="19" width="10.7109375" bestFit="1" customWidth="1"/>
    <col min="20" max="20" width="11.7109375" bestFit="1" customWidth="1"/>
    <col min="21" max="21" width="13.140625" bestFit="1" customWidth="1"/>
    <col min="22" max="22" width="14.85546875" bestFit="1" customWidth="1"/>
    <col min="23" max="23" width="12.85546875" bestFit="1" customWidth="1"/>
    <col min="24" max="24" width="15" bestFit="1" customWidth="1"/>
    <col min="25" max="25" width="13" customWidth="1"/>
    <col min="27" max="27" width="11.7109375" bestFit="1" customWidth="1"/>
    <col min="28" max="28" width="7.140625" bestFit="1" customWidth="1"/>
    <col min="29" max="29" width="15" bestFit="1" customWidth="1"/>
  </cols>
  <sheetData>
    <row r="1" spans="1:29" ht="15" customHeight="1" x14ac:dyDescent="0.25">
      <c r="A1" s="30"/>
      <c r="B1" s="39" t="s">
        <v>348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0"/>
      <c r="R1" s="30"/>
      <c r="S1" s="30"/>
      <c r="T1" s="30"/>
    </row>
    <row r="2" spans="1:29" ht="15" customHeight="1" x14ac:dyDescent="0.25">
      <c r="A2" s="30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0"/>
      <c r="R2" s="30"/>
      <c r="S2" s="30"/>
      <c r="T2" s="30"/>
    </row>
    <row r="3" spans="1:29" ht="15" customHeight="1" x14ac:dyDescent="0.25">
      <c r="A3" s="3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86"/>
      <c r="R3" s="86"/>
      <c r="S3" s="30"/>
      <c r="T3" s="30"/>
    </row>
    <row r="4" spans="1:29" ht="23.25" x14ac:dyDescent="0.35">
      <c r="B4" s="57" t="s">
        <v>325</v>
      </c>
      <c r="C4" s="58"/>
      <c r="D4" s="57" t="s">
        <v>326</v>
      </c>
      <c r="E4" s="58"/>
      <c r="F4" s="57" t="s">
        <v>327</v>
      </c>
      <c r="G4" s="59"/>
      <c r="H4" s="58"/>
      <c r="I4" s="57" t="s">
        <v>350</v>
      </c>
      <c r="J4" s="58"/>
      <c r="K4" s="57" t="s">
        <v>351</v>
      </c>
      <c r="L4" s="59"/>
      <c r="M4" s="70" t="s">
        <v>328</v>
      </c>
      <c r="N4" s="70"/>
      <c r="O4" s="70"/>
      <c r="P4" s="70"/>
      <c r="Q4" s="49"/>
      <c r="R4" s="50"/>
    </row>
    <row r="5" spans="1:29" ht="15" customHeight="1" x14ac:dyDescent="0.25">
      <c r="B5" s="63">
        <f>COUNTA(in!A2:A201)</f>
        <v>200</v>
      </c>
      <c r="C5" s="64"/>
      <c r="D5" s="63">
        <f>COUNTIF(in!G2:G201,"Approved")</f>
        <v>66</v>
      </c>
      <c r="E5" s="64"/>
      <c r="F5" s="51">
        <f>SUM(in!F2:F201)</f>
        <v>552847.80000000016</v>
      </c>
      <c r="G5" s="60"/>
      <c r="H5" s="52"/>
      <c r="I5" s="72">
        <f>D5/B5</f>
        <v>0.33</v>
      </c>
      <c r="J5" s="73"/>
      <c r="K5" s="78">
        <f>1-I5</f>
        <v>0.66999999999999993</v>
      </c>
      <c r="L5" s="79"/>
      <c r="M5" s="71">
        <f>AVERAGE(in!H2:H201)</f>
        <v>8.08</v>
      </c>
      <c r="N5" s="71"/>
      <c r="O5" s="71"/>
      <c r="P5" s="71"/>
      <c r="Q5" s="69"/>
      <c r="R5" s="48"/>
    </row>
    <row r="6" spans="1:29" ht="21" customHeight="1" x14ac:dyDescent="0.35">
      <c r="B6" s="65"/>
      <c r="C6" s="66"/>
      <c r="D6" s="65"/>
      <c r="E6" s="66"/>
      <c r="F6" s="53"/>
      <c r="G6" s="61"/>
      <c r="H6" s="54"/>
      <c r="I6" s="74"/>
      <c r="J6" s="75"/>
      <c r="K6" s="80"/>
      <c r="L6" s="81"/>
      <c r="M6" s="71"/>
      <c r="N6" s="71"/>
      <c r="O6" s="71"/>
      <c r="P6" s="71"/>
      <c r="Q6" s="69"/>
      <c r="R6" s="48"/>
      <c r="V6" s="33" t="s">
        <v>347</v>
      </c>
      <c r="W6" s="33"/>
      <c r="X6" s="33"/>
      <c r="Y6" s="33"/>
      <c r="Z6" s="3"/>
      <c r="AA6" s="33" t="s">
        <v>332</v>
      </c>
      <c r="AB6" s="33"/>
      <c r="AC6" s="33"/>
    </row>
    <row r="7" spans="1:29" ht="15.75" customHeight="1" x14ac:dyDescent="0.25">
      <c r="B7" s="67"/>
      <c r="C7" s="68"/>
      <c r="D7" s="67"/>
      <c r="E7" s="68"/>
      <c r="F7" s="55"/>
      <c r="G7" s="62"/>
      <c r="H7" s="56"/>
      <c r="I7" s="76"/>
      <c r="J7" s="77"/>
      <c r="K7" s="82"/>
      <c r="L7" s="83"/>
      <c r="M7" s="71"/>
      <c r="N7" s="71"/>
      <c r="O7" s="71"/>
      <c r="P7" s="71"/>
      <c r="Q7" s="69"/>
      <c r="R7" s="48"/>
      <c r="V7" s="41" t="s">
        <v>2</v>
      </c>
      <c r="W7" s="42"/>
      <c r="X7" s="41" t="s">
        <v>323</v>
      </c>
      <c r="Y7" s="43"/>
      <c r="AA7" s="23" t="s">
        <v>2</v>
      </c>
      <c r="AB7" s="16" t="s">
        <v>329</v>
      </c>
      <c r="AC7" s="16" t="s">
        <v>330</v>
      </c>
    </row>
    <row r="8" spans="1:29" ht="21" x14ac:dyDescent="0.35">
      <c r="A8" s="84"/>
      <c r="B8" s="47"/>
      <c r="C8" s="4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V8" s="34" t="s">
        <v>30</v>
      </c>
      <c r="W8" s="35"/>
      <c r="X8" s="34">
        <f>AVERAGEIFS(in!H2:H201,in!D2:D201,"North")</f>
        <v>8.2142857142857135</v>
      </c>
      <c r="Y8" s="38"/>
      <c r="Z8" t="s">
        <v>349</v>
      </c>
      <c r="AA8" s="24" t="s">
        <v>30</v>
      </c>
      <c r="AB8" s="20">
        <f>COUNTIF(in!D2:D201,"North")</f>
        <v>56</v>
      </c>
      <c r="AC8" s="17">
        <f>SUMIFS(in!F2:F201,in!D2:D201,"North")</f>
        <v>150657.21000000002</v>
      </c>
    </row>
    <row r="9" spans="1:29" ht="21" customHeight="1" x14ac:dyDescent="0.35">
      <c r="A9" s="87"/>
      <c r="J9" s="3"/>
      <c r="K9" s="3"/>
      <c r="N9" s="3"/>
      <c r="O9" s="3"/>
      <c r="P9" s="3"/>
      <c r="V9" s="34" t="s">
        <v>18</v>
      </c>
      <c r="W9" s="35"/>
      <c r="X9" s="34">
        <f>AVERAGEIFS(in!H2:H201,in!D2:D201,"South")</f>
        <v>7.9749999999999996</v>
      </c>
      <c r="Y9" s="38"/>
      <c r="AA9" s="25" t="s">
        <v>18</v>
      </c>
      <c r="AB9" s="21">
        <f>COUNTIF(in!D2:D201,"South")</f>
        <v>40</v>
      </c>
      <c r="AC9" s="18">
        <f>SUMIFS(in!F2:F201,in!D2:D201,"South")</f>
        <v>101784.04999999999</v>
      </c>
    </row>
    <row r="10" spans="1:29" ht="15" customHeight="1" x14ac:dyDescent="0.25">
      <c r="A10" s="87"/>
      <c r="V10" s="36" t="s">
        <v>9</v>
      </c>
      <c r="W10" s="37"/>
      <c r="X10" s="44">
        <f>AVERAGEIFS(in!H2:H201,in!D2:D201,"East")</f>
        <v>8.018518518518519</v>
      </c>
      <c r="Y10" s="45"/>
      <c r="AA10" s="24" t="s">
        <v>9</v>
      </c>
      <c r="AB10" s="20">
        <f>COUNTIF(in!D2:D201,"East")</f>
        <v>54</v>
      </c>
      <c r="AC10" s="17">
        <f>SUMIFS(in!F2:F201,in!D2:D201,"East")</f>
        <v>154569.40000000008</v>
      </c>
    </row>
    <row r="11" spans="1:29" ht="15" customHeight="1" x14ac:dyDescent="0.25">
      <c r="A11" s="87"/>
      <c r="V11" s="34" t="s">
        <v>20</v>
      </c>
      <c r="W11" s="38"/>
      <c r="X11" s="46">
        <f>AVERAGEIFS(in!H2:H201,in!D2:D201,"West")</f>
        <v>8.08</v>
      </c>
      <c r="Y11" s="45"/>
      <c r="AA11" s="26" t="s">
        <v>20</v>
      </c>
      <c r="AB11" s="22">
        <f>COUNTIF(in!D2:D201,"West")</f>
        <v>50</v>
      </c>
      <c r="AC11" s="19">
        <f>SUMIFS(in!F2:F201,in!D2:D201,"West")</f>
        <v>145837.13999999998</v>
      </c>
    </row>
    <row r="12" spans="1:29" ht="21" x14ac:dyDescent="0.35">
      <c r="A12" s="85" t="s">
        <v>352</v>
      </c>
      <c r="AA12" s="33" t="s">
        <v>331</v>
      </c>
      <c r="AB12" s="33"/>
      <c r="AC12" s="33"/>
    </row>
    <row r="13" spans="1:29" ht="21" x14ac:dyDescent="0.35">
      <c r="A13" s="85"/>
      <c r="V13" s="33" t="s">
        <v>334</v>
      </c>
      <c r="W13" s="33"/>
      <c r="X13" s="33"/>
      <c r="AA13" s="5" t="s">
        <v>3</v>
      </c>
      <c r="AB13" s="5" t="s">
        <v>329</v>
      </c>
      <c r="AC13" s="6" t="s">
        <v>330</v>
      </c>
    </row>
    <row r="14" spans="1:29" ht="15.75" x14ac:dyDescent="0.25">
      <c r="A14" s="85"/>
      <c r="V14" s="5" t="s">
        <v>333</v>
      </c>
      <c r="W14" s="6" t="s">
        <v>324</v>
      </c>
      <c r="X14" s="6" t="s">
        <v>330</v>
      </c>
      <c r="AA14" s="25" t="s">
        <v>42</v>
      </c>
      <c r="AB14" s="25">
        <f>COUNTIF(in!E2:E201,"Health")</f>
        <v>47</v>
      </c>
      <c r="AC14" s="27">
        <f>SUMIFS(in!F2:F201,in!E2:E201,"Health")</f>
        <v>131224.86000000002</v>
      </c>
    </row>
    <row r="15" spans="1:29" ht="15" customHeight="1" x14ac:dyDescent="0.25">
      <c r="A15" s="85"/>
      <c r="V15" s="7" t="s">
        <v>335</v>
      </c>
      <c r="W15" s="8">
        <f>COUNTIF(in!C2:C201,"Jan")</f>
        <v>16</v>
      </c>
      <c r="X15" s="9">
        <f>SUMIFS(in!F2:F201,in!C2:C201,"Jan")</f>
        <v>48150.459999999992</v>
      </c>
      <c r="AA15" s="24" t="s">
        <v>10</v>
      </c>
      <c r="AB15" s="24">
        <f>COUNTIF(in!E2:E201,"Auto")</f>
        <v>51</v>
      </c>
      <c r="AC15" s="28">
        <f>SUMIFS(in!F2:F201,in!E2:E201,"Auto")</f>
        <v>124552.07</v>
      </c>
    </row>
    <row r="16" spans="1:29" ht="15" customHeight="1" x14ac:dyDescent="0.25">
      <c r="A16" s="85"/>
      <c r="V16" s="10" t="s">
        <v>336</v>
      </c>
      <c r="W16" s="11">
        <f>COUNTIF(in!C2:C201,"Feb")</f>
        <v>17</v>
      </c>
      <c r="X16" s="12">
        <f>SUMIFS(in!F2:F201,in!C2:C201,"Feb")</f>
        <v>40449.89</v>
      </c>
      <c r="AA16" s="24" t="s">
        <v>28</v>
      </c>
      <c r="AB16" s="24">
        <f>COUNTIF(in!E2:E201,"Home")</f>
        <v>52</v>
      </c>
      <c r="AC16" s="28">
        <f>SUMIFS(in!F2:F201,in!E2:E201,"Home")</f>
        <v>156024.67000000004</v>
      </c>
    </row>
    <row r="17" spans="1:29" ht="15" customHeight="1" x14ac:dyDescent="0.25">
      <c r="A17" s="85"/>
      <c r="V17" s="7" t="s">
        <v>337</v>
      </c>
      <c r="W17" s="8">
        <f>COUNTIF(in!C2:C201,"Mar")</f>
        <v>22</v>
      </c>
      <c r="X17" s="9">
        <f>SUMIFS(in!F2:F201,in!C2:C201,"Mar")</f>
        <v>60236.979999999996</v>
      </c>
      <c r="AA17" s="26" t="s">
        <v>14</v>
      </c>
      <c r="AB17" s="26">
        <f>COUNTIF(in!E2:E201,"Travel")</f>
        <v>50</v>
      </c>
      <c r="AC17" s="29">
        <f>SUMIFS(in!F2:F201,in!E2:E201,"Travel")</f>
        <v>141046.20000000001</v>
      </c>
    </row>
    <row r="18" spans="1:29" x14ac:dyDescent="0.25">
      <c r="A18" s="85"/>
      <c r="V18" s="10" t="s">
        <v>338</v>
      </c>
      <c r="W18" s="11">
        <f>COUNTIF(in!C3:C202,"Apr")</f>
        <v>16</v>
      </c>
      <c r="X18" s="12">
        <f>SUMIFS(in!F2:F201,in!C2:C201,"Apr")</f>
        <v>41719.31</v>
      </c>
    </row>
    <row r="19" spans="1:29" x14ac:dyDescent="0.25">
      <c r="A19" s="85"/>
      <c r="V19" s="7" t="s">
        <v>339</v>
      </c>
      <c r="W19" s="8">
        <f>COUNTIF(in!C2:C201,"May")</f>
        <v>20</v>
      </c>
      <c r="X19" s="9">
        <f>SUMIFS(in!F2:F201,in!C2:C201,"May")</f>
        <v>55802.19</v>
      </c>
    </row>
    <row r="20" spans="1:29" x14ac:dyDescent="0.25">
      <c r="A20" s="85"/>
      <c r="V20" s="10" t="s">
        <v>340</v>
      </c>
      <c r="W20" s="11">
        <f>COUNTIF(in!C2:C201,"Jun")</f>
        <v>15</v>
      </c>
      <c r="X20" s="12">
        <f>SUMIFS(in!F2:F201,in!C2:C201,"Jun")</f>
        <v>47780.130000000005</v>
      </c>
    </row>
    <row r="21" spans="1:29" x14ac:dyDescent="0.25">
      <c r="A21" s="85"/>
      <c r="V21" s="7" t="s">
        <v>341</v>
      </c>
      <c r="W21" s="8">
        <f>COUNTIF(in!C2:C201,"Jul")</f>
        <v>27</v>
      </c>
      <c r="X21" s="9">
        <f>SUMIFS(in!F2:F201,in!C2:C201,"Jul")</f>
        <v>81611.61</v>
      </c>
    </row>
    <row r="22" spans="1:29" x14ac:dyDescent="0.25">
      <c r="A22" s="85"/>
      <c r="V22" s="10" t="s">
        <v>342</v>
      </c>
      <c r="W22" s="11">
        <f>COUNTIF(in!C2:C201,"Aug")</f>
        <v>15</v>
      </c>
      <c r="X22" s="12">
        <f>SUMIFS(in!F2:F201,in!C2:C201,"Aug")</f>
        <v>28134.65</v>
      </c>
    </row>
    <row r="23" spans="1:29" x14ac:dyDescent="0.25">
      <c r="V23" s="10" t="s">
        <v>343</v>
      </c>
      <c r="W23" s="11">
        <f>COUNTIF(in!C2:C201,"Sep")</f>
        <v>14</v>
      </c>
      <c r="X23" s="12">
        <f>SUMIFS(in!F2:F201,in!C2:C201,"Sep")</f>
        <v>38951.850000000006</v>
      </c>
    </row>
    <row r="24" spans="1:29" x14ac:dyDescent="0.25">
      <c r="V24" s="7" t="s">
        <v>344</v>
      </c>
      <c r="W24" s="8">
        <f>COUNTIF(in!C2:C201,"Oct")</f>
        <v>18</v>
      </c>
      <c r="X24" s="9">
        <f>SUMIFS(in!F2:F201,in!C2:C201,"Oct")</f>
        <v>52678.930000000008</v>
      </c>
    </row>
    <row r="25" spans="1:29" x14ac:dyDescent="0.25">
      <c r="V25" s="10" t="s">
        <v>345</v>
      </c>
      <c r="W25" s="11">
        <f>COUNTIF(in!C2:C201,"Nov")</f>
        <v>9</v>
      </c>
      <c r="X25" s="12">
        <f>SUMIFS(in!F2:F201,in!C2:C201,"Nov")</f>
        <v>28602.18</v>
      </c>
    </row>
    <row r="26" spans="1:29" x14ac:dyDescent="0.25">
      <c r="V26" s="13" t="s">
        <v>346</v>
      </c>
      <c r="W26" s="14">
        <f>COUNTIF(in!C2:C201,"Dec")</f>
        <v>11</v>
      </c>
      <c r="X26" s="15">
        <f>SUMIFS(in!F2:F201,in!C2:C201,"Dec")</f>
        <v>28729.62</v>
      </c>
    </row>
    <row r="45" spans="17:17" x14ac:dyDescent="0.25">
      <c r="Q45" t="s">
        <v>353</v>
      </c>
    </row>
  </sheetData>
  <mergeCells count="28">
    <mergeCell ref="B1:P3"/>
    <mergeCell ref="A12:A22"/>
    <mergeCell ref="I5:J7"/>
    <mergeCell ref="M4:P4"/>
    <mergeCell ref="M5:P7"/>
    <mergeCell ref="B4:C4"/>
    <mergeCell ref="B5:C7"/>
    <mergeCell ref="D4:E4"/>
    <mergeCell ref="D5:E7"/>
    <mergeCell ref="K5:L7"/>
    <mergeCell ref="K4:L4"/>
    <mergeCell ref="F4:H4"/>
    <mergeCell ref="F5:H7"/>
    <mergeCell ref="I4:J4"/>
    <mergeCell ref="AA12:AC12"/>
    <mergeCell ref="AA6:AC6"/>
    <mergeCell ref="V8:W8"/>
    <mergeCell ref="X8:Y8"/>
    <mergeCell ref="X10:Y10"/>
    <mergeCell ref="X11:Y11"/>
    <mergeCell ref="V6:Y6"/>
    <mergeCell ref="V7:W7"/>
    <mergeCell ref="X7:Y7"/>
    <mergeCell ref="V13:X13"/>
    <mergeCell ref="V9:W9"/>
    <mergeCell ref="V10:W10"/>
    <mergeCell ref="V11:W11"/>
    <mergeCell ref="X9:Y9"/>
  </mergeCells>
  <phoneticPr fontId="19" type="noConversion"/>
  <pageMargins left="0.70866141732283472" right="0.70866141732283472" top="0.74803149606299213" bottom="0.74803149606299213" header="0.31496062992125984" footer="0.31496062992125984"/>
  <pageSetup orientation="landscape" horizontalDpi="0" verticalDpi="0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Errynie Cyril</dc:creator>
  <cp:lastModifiedBy>User</cp:lastModifiedBy>
  <cp:lastPrinted>2026-02-14T04:58:12Z</cp:lastPrinted>
  <dcterms:created xsi:type="dcterms:W3CDTF">2026-02-13T14:26:09Z</dcterms:created>
  <dcterms:modified xsi:type="dcterms:W3CDTF">2026-02-18T10:59:10Z</dcterms:modified>
</cp:coreProperties>
</file>